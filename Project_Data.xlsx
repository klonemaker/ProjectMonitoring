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directorcc/Downloads/"/>
    </mc:Choice>
  </mc:AlternateContent>
  <xr:revisionPtr revIDLastSave="0" documentId="13_ncr:1_{094D52E2-4580-5F4F-954C-83E330A05223}" xr6:coauthVersionLast="47" xr6:coauthVersionMax="47" xr10:uidLastSave="{00000000-0000-0000-0000-000000000000}"/>
  <bookViews>
    <workbookView xWindow="0" yWindow="500" windowWidth="51200" windowHeight="26460" activeTab="1" xr2:uid="{00000000-000D-0000-FFFF-FFFF00000000}"/>
  </bookViews>
  <sheets>
    <sheet name="Sheet9" sheetId="2" r:id="rId1"/>
    <sheet name="Active before 2014" sheetId="3" r:id="rId2"/>
    <sheet name="Active 14-19" sheetId="4" r:id="rId3"/>
    <sheet name="Active 19-24" sheetId="5" r:id="rId4"/>
  </sheets>
  <definedNames>
    <definedName name="_xlnm._FilterDatabase" localSheetId="2" hidden="1">'Active 14-19'!$A$1:$X$57</definedName>
    <definedName name="_xlnm._FilterDatabase" localSheetId="3" hidden="1">'Active 19-24'!$A$1:$R$138</definedName>
    <definedName name="_xlnm._FilterDatabase" localSheetId="1" hidden="1">'Active before 2014'!$A$1:$AF$81</definedName>
    <definedName name="K27K28">'Active before 2014'!$K$27</definedName>
    <definedName name="K29K27">'Active before 2014'!$K$29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2" i="5" l="1"/>
  <c r="O131" i="5"/>
  <c r="O122" i="5"/>
  <c r="O120" i="5"/>
  <c r="O117" i="5"/>
  <c r="O116" i="5"/>
  <c r="O115" i="5"/>
  <c r="O114" i="5"/>
  <c r="O113" i="5"/>
  <c r="O112" i="5"/>
  <c r="O110" i="5"/>
  <c r="O109" i="5"/>
  <c r="O108" i="5"/>
  <c r="O107" i="5"/>
  <c r="O106" i="5"/>
  <c r="O105" i="5"/>
  <c r="O51" i="5"/>
  <c r="O40" i="5"/>
  <c r="O38" i="5"/>
  <c r="O37" i="5"/>
  <c r="N25" i="5"/>
  <c r="O20" i="5"/>
  <c r="O19" i="5"/>
  <c r="O15" i="5"/>
  <c r="O13" i="5"/>
  <c r="O11" i="5"/>
  <c r="O5" i="5"/>
  <c r="O57" i="4"/>
  <c r="O52" i="4"/>
  <c r="O49" i="4"/>
  <c r="O48" i="4"/>
  <c r="O47" i="4"/>
  <c r="O38" i="4"/>
  <c r="O29" i="4"/>
  <c r="O28" i="4"/>
  <c r="O26" i="4"/>
  <c r="O25" i="4"/>
  <c r="O23" i="4"/>
  <c r="O8" i="4"/>
  <c r="O7" i="4"/>
  <c r="U81" i="3"/>
  <c r="U80" i="3"/>
  <c r="U79" i="3"/>
  <c r="U78" i="3"/>
  <c r="U77" i="3"/>
  <c r="U76" i="3"/>
  <c r="U71" i="3"/>
  <c r="U70" i="3"/>
  <c r="U69" i="3"/>
  <c r="U68" i="3"/>
  <c r="U67" i="3"/>
  <c r="U66" i="3"/>
  <c r="U65" i="3"/>
  <c r="U53" i="3"/>
  <c r="U52" i="3"/>
  <c r="U42" i="3"/>
  <c r="U36" i="3"/>
  <c r="U25" i="3"/>
  <c r="U24" i="3"/>
  <c r="U21" i="3"/>
  <c r="U17" i="3"/>
  <c r="U15" i="3"/>
  <c r="U13" i="3"/>
  <c r="U12" i="3"/>
  <c r="U10" i="3"/>
  <c r="U9" i="3"/>
  <c r="U8" i="3"/>
  <c r="U4" i="3"/>
  <c r="Y2" i="3"/>
</calcChain>
</file>

<file path=xl/sharedStrings.xml><?xml version="1.0" encoding="utf-8"?>
<sst xmlns="http://schemas.openxmlformats.org/spreadsheetml/2006/main" count="1971" uniqueCount="815">
  <si>
    <t>S.N</t>
  </si>
  <si>
    <t>Rly</t>
  </si>
  <si>
    <t>PH</t>
  </si>
  <si>
    <t>Name of Project</t>
  </si>
  <si>
    <t>Land Acquisition issue</t>
  </si>
  <si>
    <t>Sanctioned Year</t>
  </si>
  <si>
    <t>DE Sanction Year</t>
  </si>
  <si>
    <t>Length of project (Km)</t>
  </si>
  <si>
    <t>Active Before 2014</t>
  </si>
  <si>
    <t>Original TDC</t>
  </si>
  <si>
    <t>26 /80</t>
  </si>
  <si>
    <t>Active 2014-19</t>
  </si>
  <si>
    <t>6/56</t>
  </si>
  <si>
    <t>Anticipated TDC as given by Rly</t>
  </si>
  <si>
    <t>Active 19-24</t>
  </si>
  <si>
    <t>37/136</t>
  </si>
  <si>
    <t>Time overrun</t>
  </si>
  <si>
    <t>Reasons for Time overrun</t>
  </si>
  <si>
    <t>TIME OVERRUN REASON</t>
  </si>
  <si>
    <t>Original Sanctioned Cost</t>
  </si>
  <si>
    <t>Forest Clearance &amp; Wildlife</t>
  </si>
  <si>
    <t xml:space="preserve">Anticipated Cost </t>
  </si>
  <si>
    <t>Land Acquisition</t>
  </si>
  <si>
    <t>Cost overrun</t>
  </si>
  <si>
    <t>Phase wise Sanctioning</t>
  </si>
  <si>
    <t>Reasons for Cost Over run</t>
  </si>
  <si>
    <t>Law &amp; Order issue</t>
  </si>
  <si>
    <t>Utility Shifting</t>
  </si>
  <si>
    <t>COST OVERRUN REASON</t>
  </si>
  <si>
    <t>No delay</t>
  </si>
  <si>
    <t>Original Sanctioned Cost
(in Cr)</t>
  </si>
  <si>
    <t>Anticipated Cost 
(in Cr)</t>
  </si>
  <si>
    <t>Cost overrun
(in Cr)</t>
  </si>
  <si>
    <t>Remarks</t>
  </si>
  <si>
    <t>CR</t>
  </si>
  <si>
    <t>NL</t>
  </si>
  <si>
    <t>Solapur-tuljapur-Osmanabad</t>
  </si>
  <si>
    <t>2018-19</t>
  </si>
  <si>
    <t>Ahmednagar-Beed-Parle Vaijnath ©</t>
  </si>
  <si>
    <t>1996-97</t>
  </si>
  <si>
    <t>Law and Order Issue</t>
  </si>
  <si>
    <t>Forest &amp; Wildlife Clearance, Land Acquisition</t>
  </si>
  <si>
    <t>Kalyan-Murbad via Ulhasnagar ©</t>
  </si>
  <si>
    <t>2022-23</t>
  </si>
  <si>
    <t>Dhule (Borvihir)-Nardana</t>
  </si>
  <si>
    <t>Forest &amp; Wildlife Clearance</t>
  </si>
  <si>
    <t>DL</t>
  </si>
  <si>
    <t>Wardha-Ballarshah 3rd line</t>
  </si>
  <si>
    <t>2015-16</t>
  </si>
  <si>
    <t>GC</t>
  </si>
  <si>
    <t>Pachora-Jamner with extension upto Malkapur NG to BG</t>
  </si>
  <si>
    <t>Baramati-Lonand</t>
  </si>
  <si>
    <t>1998-99</t>
  </si>
  <si>
    <t>Itarsi- Nagpur 3rd line. Bal.</t>
  </si>
  <si>
    <t>2016-17</t>
  </si>
  <si>
    <t>Law and Order Issue, Phase wise Sanctioning</t>
  </si>
  <si>
    <t>Double Chord Line between Nilje and Kopar</t>
  </si>
  <si>
    <t>2023-24</t>
  </si>
  <si>
    <t>Wardha-Nagpur 4th line</t>
  </si>
  <si>
    <t>2017-18</t>
  </si>
  <si>
    <t>Wardha-Nanded (via Yevatmal-Pusood) ©</t>
  </si>
  <si>
    <t>ECoR</t>
  </si>
  <si>
    <t>Jeypore-Malkangiri ©</t>
  </si>
  <si>
    <t>30/12/2026</t>
  </si>
  <si>
    <t>Talcher &amp; Angul with 'Y' connection at Talcher</t>
  </si>
  <si>
    <t>2019-20</t>
  </si>
  <si>
    <t>Land Acquisition, Phase wise Sanctioning</t>
  </si>
  <si>
    <t>6 months</t>
  </si>
  <si>
    <t xml:space="preserve">1. The proposal for Forest Clearance / approvals was initiated on 26-10-2018 through offline submission. Subsequently, due to implementation of the PARIVESH online portal, the complete proposal had to be resubmitted online, resulting in procedural delay.Working Permission was granted on 12-03-2024. The permission was only for resource mobilization. Physical work at site could not be started till receipt of final approval/compliances from the concerned authorities. Accordingly, against the original target date of 31-12-2020, the approval was finally obtained on 04-09-2024, causing a delay of 1344 days. 
2. Land Acquisition was also affected during the COVID-19 pandemic period. 
3. Delay in Borrow Area Approvals due to NGT Orders (From Feb’22 to May’23), Dispute from land owners, delay in Forest Land acquisition and requirement of additional land acquisition.
</t>
  </si>
  <si>
    <t xml:space="preserve">Land acquisition not completed due to public agitation at village Ghantapada. </t>
  </si>
  <si>
    <t>FC</t>
  </si>
  <si>
    <t>LA</t>
  </si>
  <si>
    <t>NA</t>
  </si>
  <si>
    <t>Jeypore-Nabarangpur ©</t>
  </si>
  <si>
    <t>July'22</t>
  </si>
  <si>
    <t>99 months</t>
  </si>
  <si>
    <t xml:space="preserve">Due to delay in Land acquisition.  </t>
  </si>
  <si>
    <t>Price escalation &amp;  Increase in land cost</t>
  </si>
  <si>
    <t xml:space="preserve">Declared as Special Railway Project &amp; LAZO/Angul declared as Competent Authority on 08.02.2024.
Pvt. Land:-. Application has been uploaded in LARRMS portal &amp; Scrutinizing of Land Plan &amp; Land schedule are under process. 20A Notification issued on 08.11.2024 earlier. Due to delay in notification of 20E, hindrances arised by the villagers of Ghantapada, 20A notification was expired. However, field verification is completed for 13 villages. Fresh 20A notification was published on 01.06.2026. Field verification in progress for issue of 20E notification. Gramyasabha in village Ghantapada was held on 23.09.2026 which was earlier not completed due to hindrances arised by the villagers of Ghantapada.
Govt. Land:- Application submitted for Alienation to Tehsildar. Ground verification completed.
</t>
  </si>
  <si>
    <t>Vizianagram-Titlagarh (Sambalpur) 3rd line</t>
  </si>
  <si>
    <t>Jun'2027</t>
  </si>
  <si>
    <t>NA, The project is scheduled to complete by June'2027</t>
  </si>
  <si>
    <t>Kodingamali Bauxite Mines to Singaram Railway Station</t>
  </si>
  <si>
    <t>2335.68 Cr.</t>
  </si>
  <si>
    <t>6669.61 Cr.</t>
  </si>
  <si>
    <t>4,333.93 Cr.</t>
  </si>
  <si>
    <t>Nil</t>
  </si>
  <si>
    <t>No Delay</t>
  </si>
  <si>
    <t>i) Earthwork:- Quantity of total Earth work increased from 164 lakh cum. to 335 lakh cum. due to 
a) Change in FLs to keep the minimum vertical clearance at RUBs which have been increased from 36 nos. to 162 nos. from DE to RE2 due to rapid development of Road network in this area.
b) Increase in formation width to 7.85m against original planned 6.85 m.
c) Incraese in width by 2 meter on either side as per GE 002 for catch drain dicthes in deep cutting.
d) Ground improvement to replace BC soil with SQ2 soil whereever BC soil is encountered.
ii) Concrete and allied items: Quantity of concrete, cement, providing and fabricating steel, structural steel etc. increased primarily due to
a) Increase in overall bridges from 350 nos. to 500 nos. (aaditional 150 nos.) with increase in RUBs from 36 nos. to 162 nos.  (additional 126 nos.) Introduction of 2 Km. of viaducts.
b) Incraese in No of RUBs also increased FLs thus barell length of bridges.
c) Railway advised to propose mostly composite girder bridges in place of PSC thus increase in CG bridges from 4 to 83 nos. increasing the structural steel quantity.
iii) Increase in length of section: Increase in overall length of section from 206 km. to 213.5 km. due to joining at Maltekdi and also conversion of Yelegaon station from Halt to X-ing with major yard modification at Maltekdi.
iv) Provision of ballastless track: As per the RB policy tunnels are planned with BLT. 
v)Protection Measures for NG line(Shakuntala line): 20 km parallel alignment with NG line – Central Railway mandated protection of NG line, leading to increased elevation levels and associated earthwork and bridge construction ,costs, retaining walls etc.
vi) Major P.Way changes: Use of wide-based sleepers instead of conventional 60kg sleepers, use of thick web switches &amp; Weldable CMS crossings, adoption of mechanized track linking, change from AT welding to Flash Butt welding etc.
vii) Increase in PA works: With change from RL/LL PF to HL PFs in all stations, increase in platform length, increase in COP's, introdcution of FOBs, additional loop lines in stations etc.
viii) Other changes in Board's policy guidelines w.r.t increse in plinth area of Quarters, introduction of transition system at bridge approaches, speed potential of new lines to 160 kmph, making of substructure for double line etc.  
ix) Changes in S&amp;T work: 
(i) Based on Railway Board policy S&amp;T interlocking system changed from Panel interlocking to Electronic interlocking.
(ii) In the route, 10.364 km tunnel is under construction hence necessary telecommunication equipment for tunnel communication is incorporated.
x) Changes in ELectrical works: 
a) RE portion: Changes in scope from 1 X 25 KV to 2 X 25 KV (OHE arrangments) with corresponding increase in transmission line cost, SP/SSP/TSS costs.
b) GE Works: i) Huge increase in costs due to Tunnel ventilation arrangement (106 Cr.)
                        ii) Incraese in power line crossings due to recent rapid development of area.</t>
  </si>
  <si>
    <r>
      <rPr>
        <b/>
        <u/>
        <sz val="10"/>
        <color theme="1"/>
        <rFont val="Arial"/>
        <family val="2"/>
      </rPr>
      <t xml:space="preserve">Major Reasons for increase in cost due to other than price escalation (Impact INR 1594.23Cr.)
</t>
    </r>
    <r>
      <rPr>
        <sz val="10"/>
        <color theme="1"/>
        <rFont val="Arial"/>
        <family val="2"/>
      </rPr>
      <t xml:space="preserve">The increase in project cost is mainly attributable to increased land requirements, additional earthwork, and expansion of civil, track, station, electrical and S&amp;T works. Private land acquisition increased from 177 to 355 acres and Government land from 59 to 92 acres, Retaining walls increased from 12.20 to 28.50 km and drains from 151.23 to 190.97 km. Bypass and loop line lengths increased from 1 to 7.68 km and 30 to 54.89 km, respectively, requiring additional rails, sleepers, fastenings, points and crossings, and ballast. LHS increased from 19 to 58, along with provision of five new ROBs, eight major bridges omitted in AE/DE, and additional minor bridge works. Station works expanded to include increased building area, 11 new TM sidings, additional platform shelters, 15 new island platforms and 5,279 m of platform extensions. Further increases arose from electrical works and expanded S&amp;T requirements, including additional cabling, dual-detection MSDAC, electronic interlocking with hot standby, HASSDAC and multiple IPS systems to accommodate enhanced yard capacity and station loads.
</t>
    </r>
    <r>
      <rPr>
        <b/>
        <u/>
        <sz val="10"/>
        <color theme="1"/>
        <rFont val="Arial"/>
        <family val="2"/>
      </rPr>
      <t>Major Reasons for increase in cost due to price escalation (Impact INR 2734.99Cr.)</t>
    </r>
    <r>
      <rPr>
        <sz val="10"/>
        <color theme="1"/>
        <rFont val="Arial"/>
        <family val="2"/>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</si>
  <si>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Change in Scope of Work based on Actual Field requirement, Market Inflation increase in cost of raw material, Escalation in Land Acquisition value</t>
  </si>
  <si>
    <t>Change in Scope of Work based on Actual Field requirement</t>
  </si>
  <si>
    <t>Jarapaada- Budhapank 3rd &amp; 4th line with flyover at Talcher.</t>
  </si>
  <si>
    <t>Gandhmardan Iron Ore Mines to Goaldih Station</t>
  </si>
  <si>
    <t>95 months</t>
  </si>
  <si>
    <t>Kalyan-Kasara - 3rd line</t>
  </si>
  <si>
    <t>4 year</t>
  </si>
  <si>
    <t>COVID Pandemic, Delay in land acquisition, Frequent obstruction of  works by local villagers (i.e. villagers of Tukuda &amp; Jamunda received the compensation amount for structure as well as land but not allowing the execution of work by demanding extra compensation under R&amp;R policy, villagers of Kanyabeda, Sana Karabereni, Bada Karabereni &amp; Bhogobereni are not allowing to execute the work due to chakka land), Delay in shifting of utilities (i.e. Water Pipelines, Electrical LT, HT, EHT lines and mast &amp; Transformers, Shifting of S&amp;T Cables), Unauthorized Hutments.</t>
  </si>
  <si>
    <t>Delay in land acquisition and Public agitation</t>
  </si>
  <si>
    <t>701.61 Cr.</t>
  </si>
  <si>
    <t xml:space="preserve">The DPR was sanctioned in the year of  2022 with a completion period of 02 years. Subsequently on demand of the local people and asper instruction of State Govt. the alignment was modified and a fresh DPR is under preparation.  </t>
  </si>
  <si>
    <t>1671 Cr.</t>
  </si>
  <si>
    <t>New line between Puri and Konark ©</t>
  </si>
  <si>
    <t>969.39 Cr.</t>
  </si>
  <si>
    <t>3 years</t>
  </si>
  <si>
    <t>The increase in project cost is mainly due to  increased  in cost due to increase in cost of land, increase of cost of land, earthwork, bridges, Pway, electrical and S&amp;T works.
Change in basic prices i.e USSOR-2010 to USSOR-2021, CPWD-DSR-2010 to CPWD-DSR-2021.
Escalation in cost due to GST impacts in post GST period.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t>
  </si>
  <si>
    <t>Delay in land acquisition</t>
  </si>
  <si>
    <t>-</t>
  </si>
  <si>
    <t>Price escalation &amp;  Increase in land  value</t>
  </si>
  <si>
    <t>Wardha(Sewagram)-Nagpur 3rd line</t>
  </si>
  <si>
    <t>As there is delay in land acquisition and the rate references of 2021 were taken while preparation of estimate</t>
  </si>
  <si>
    <t>2012-13</t>
  </si>
  <si>
    <t>Budhapank- Salegaon via Rajatgarh 3rd &amp; 4th line</t>
  </si>
  <si>
    <t>Dec'20</t>
  </si>
  <si>
    <t>72 Months</t>
  </si>
  <si>
    <t xml:space="preserve">COVID Pandemic, Delay in land acquisition, Delay in forest Diversion, Delay in shifting of utilities (i.e. Water Pipelines, Electrical LT, HT, EHT lines and mast &amp; Transformers, Shifting of S&amp;T Cables), </t>
  </si>
  <si>
    <t>3rd line between Nergundi - Barang &amp; Khurda Road - Vizianagaram</t>
  </si>
  <si>
    <t>1172.92 Cr.</t>
  </si>
  <si>
    <t>2500 Cr.</t>
  </si>
  <si>
    <t>814.72 Cr.</t>
  </si>
  <si>
    <t>Sept 29</t>
  </si>
  <si>
    <t>1 year</t>
  </si>
  <si>
    <t>4962.87 Cr.</t>
  </si>
  <si>
    <r>
      <rPr>
        <b/>
        <u/>
        <sz val="10"/>
        <color theme="1"/>
        <rFont val="Arial"/>
        <family val="2"/>
      </rPr>
      <t xml:space="preserve">
</t>
    </r>
    <r>
      <rPr>
        <sz val="10"/>
        <color theme="1"/>
        <rFont val="Arial"/>
        <family val="2"/>
      </rPr>
      <t xml:space="preserve">The increase in project cost is mainly due to  increased  in cost of land. additional earthwork, and expansion of TATA LINE, station, electrical and S&amp;T works. Increase in   loop line lengths.Requiring additional rails, sleepers, fastenings, points and crossings, and ballast. LHS increased . additional minor bridge works. Increase in Circulating area. Inclusion of Animal Over pass amounting to Rs.100 Crs.Increase in H.L Plat form area, Station works expanded to include increased Station Building  area,  additional platform shelters, Island platforms . Further increases arose from electrical works and expanded S&amp;T requirements, including additional cabling, dual-detection MSDAC, electronic interlocking with hot standby, HASSDAC and multiple IPS systems to accommodate enhanced yard capacity and station loads.
Change in basic prices i.e USSOR-2010 to USSOR-2019, CPWD-DSR-2010 to CPWD-DSR-2021.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</si>
  <si>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Khurda Road-Bolangir ©</t>
  </si>
  <si>
    <t>1994-95</t>
  </si>
  <si>
    <t>2002-2016</t>
  </si>
  <si>
    <t>67 Months</t>
  </si>
  <si>
    <t>Kottavalasa-Koraput</t>
  </si>
  <si>
    <t>Baghuapal Fly over</t>
  </si>
  <si>
    <t>Dec'22</t>
  </si>
  <si>
    <t>63 Months</t>
  </si>
  <si>
    <t>1. Detailed survey &amp; Sanction of Detailed Estimate in Phases:
a. Khurda Bolangir Project was included in budget (Pink Book) in 1994-95 with token fund allocation.
b. Subsequently, detailed survey was taken up and interim report was submitted in September-1998.
c. Part detailed estimate were sanctioned in 4 stages commencing from Jun-2002, last being in Jun-2016.
2. Delay in handing over of Pvt. Land
a. Only 30% of private land handed over till 2014-15
b.Land Acquisition got momentum after signing of MOU with Govt. of Odisha in 2015-16
c. Major land was made available from 2018-19 onwards.
3. Delay in receiving forest clearance:
a. Last forest clearance was received in May-2023 for Km.112-180 (Daspalla-Purunakatak).
4. Fund Allocation:
a.Inadequate fund allocation in the initial years up to 2013-14.</t>
  </si>
  <si>
    <t>1.0 Execution of works between BDVR-KVLS section (50.87 kms) completely stopped due to forest land diversion for approach road through reserve forest area from 23.03.2025 to 31.01.2026.Again commenced after obtaining working permission on 01.02.2026.
2.0 Difficult terrain with hard rock cutting , tunnelling , major bridges over sharp curves of 8 degree, non approachable sites etc.</t>
  </si>
  <si>
    <t>2 Year</t>
  </si>
  <si>
    <t>Forest &amp; Wildlife Clearance, Land Acquisition, Phase wise Sanctioning</t>
  </si>
  <si>
    <t>PS</t>
  </si>
  <si>
    <t>1.Due to increase in land area and rate.
2.Due to increase in quantity in item like cutting,sand filling and new items like tunneling,blanketing, prepared sub-grade,retaining wall etc as per actual requirement and also increase P.way material cost and Major &amp; Minor bridge quantity and rate.</t>
  </si>
  <si>
    <t>This Project DE sanction year is 2022</t>
  </si>
  <si>
    <t>ECOR</t>
  </si>
  <si>
    <t>Cost Overrun: Increase in scope of tunnelling between SLPM-BGHU section.</t>
  </si>
  <si>
    <t>Doubling between Ore Exchange Complex and Simhachalam North</t>
  </si>
  <si>
    <t xml:space="preserve">1.  Inclusion of  7 nos of Tunnels  between Daspalla to Purunakatak of total length 12687mtr which were not  in the sanctioned detailed estimate.
2. Increase in formation width i.e. 6.85m to 7.85m as per Railway Board guideline.
3. Increase in nos. of ROBs from 32 to 44nos to avoid level crossings in new line.
4. Introduction of viaduct over Brutang reservoir of length 4741m viz. Br.302 (182x24.4m) i.e. viaduct throughout the Brutang reservoir to keep the hydraulics of the reservoir unaffected as per the direction of water resource dept.
Inclusion of another 3nos of Viaducts viz. 338A (11x24.4m), 430A (21x24.40m) &amp; 435A (48x24.4m) to avoid earth filling in bank upto a height 25m (max) and to protect forest cover.
5. Increase in major bridge length from 4156m to 13470m including Elephant passages w.r.t last sanctioned estimate.
6.  Provision of Electronic Interlocking with MACLS as against MLQ signaling and integrated communication for Tunnel.
7. Number of Powerline crossing has been increased.
8. Adoption of latest accepted rates such as USSOR-2019, CPWD-2018 in most of the contract which enhance the cost.
</t>
  </si>
  <si>
    <t>Uncertainity in Geological Condition</t>
  </si>
  <si>
    <t>Market Inflation increase in cost of raw material, Change in Scope of Work based on Actual Field requirement</t>
  </si>
  <si>
    <t>07.03.2026</t>
  </si>
  <si>
    <t>29 months</t>
  </si>
  <si>
    <t>Koraput-Singapur Rd.</t>
  </si>
  <si>
    <t>Major modifications in existing yards of OEC, ELS and SCMN yards, 
Non finalisation of ESPs, change of major bridge GADs due to new sanction of multitracking of GPT Thadi line, 
Shifting of utilities (pipelines by GVMC), etc.,</t>
  </si>
  <si>
    <t>Dec'27</t>
  </si>
  <si>
    <t>Talcher-Bimlagarh</t>
  </si>
  <si>
    <t>3 Months</t>
  </si>
  <si>
    <t>₹ 2361.74 Cr</t>
  </si>
  <si>
    <t>84 Month</t>
  </si>
  <si>
    <t>₹ 4887.63Cr</t>
  </si>
  <si>
    <t>₹ 2525.92 Cr</t>
  </si>
  <si>
    <t>(i) Land acquisition delays.
(ii) Fragmented land possession: Patch-wise land availability prevents continuous track laying and earthwork by contractors.
(iii) Court litigations &amp; disputes: Multiple ongoing legal cases and land compensation disputes.
(iv) Local agitation &amp; protests: Recurring public resistance and work stoppages by displaced villagers demanding settlement and compensation.
(v) Utility Shifting Obstacles.</t>
  </si>
  <si>
    <t>(i) Land Rates has increased (ii) Area of land has increased to the tune of 55.48% over the abstract estimate. (iii) Price esclation i.e. Project sanctioned 2015-16.(iv) Structural engg. works, formation, P.Way, Bridges, Station Building  qty has increased..</t>
  </si>
  <si>
    <t>Land Acquisition, Law and Order Issue, Utility Shifting</t>
  </si>
  <si>
    <t>Change in Scope of Work based on Actual Field requirement, Escalation in Land Acquisition value, Market Inflation increase in cost of raw material</t>
  </si>
  <si>
    <t>1st revised estimate is under vetting.</t>
  </si>
  <si>
    <t>LO</t>
  </si>
  <si>
    <t>US</t>
  </si>
  <si>
    <t>Jagdalpur-Koraput</t>
  </si>
  <si>
    <t>cost escalation, major changes in yards, etc.</t>
  </si>
  <si>
    <t>revised estimate is being processed for approval</t>
  </si>
  <si>
    <t>60 months</t>
  </si>
  <si>
    <t>Byepass line from Rahenbata in RV(Raipur-Vizianagram) line to Sikir in JT (Jharsuguda-Titlagarh) line byepassing Titlagarh (12.65 Km)</t>
  </si>
  <si>
    <t>2. Difficult terrain with hard rock cutting , tunnelling , major bridges over sharp curves of 8 degree, non approachable sites etc.</t>
  </si>
  <si>
    <t>₹ 1547.38 Cr</t>
  </si>
  <si>
    <t xml:space="preserve"> ₹ 3406.16 Cr </t>
  </si>
  <si>
    <t>₹ 1858.78 Cr</t>
  </si>
  <si>
    <t>2 years 9 months</t>
  </si>
  <si>
    <t xml:space="preserve">Delay in land acquisition. </t>
  </si>
  <si>
    <t>ECR</t>
  </si>
  <si>
    <t>Jhajha-Batia</t>
  </si>
  <si>
    <t xml:space="preserve">(i) Market Inflation of Construction Materials &amp; Fuel.
(ii) Escalation in Land Acquisition Compensation.
(iii) Contractual Price Variations.
(iv) Technical Scope creep &amp; Engineering Revisions.
</t>
  </si>
  <si>
    <t>Work is  in progress.</t>
  </si>
  <si>
    <t>3rd &amp; 4th line between Duvvada - Simhachalam North</t>
  </si>
  <si>
    <t>11.04.2026</t>
  </si>
  <si>
    <t>27 months</t>
  </si>
  <si>
    <t>Delay in land acquisition, 
shifting of utilities (pipelines by GVMC/Irrigation authorities , Electric Poles &amp; Transformer by APEPDCL,
Non finalisation of ESPs, 
Shifting of Cables, etc.,</t>
  </si>
  <si>
    <t>3rd line bet. Dhanbad-Sonnagar</t>
  </si>
  <si>
    <t>Land Acquisition, Utility Shifting</t>
  </si>
  <si>
    <t>Brundamal-Jharsuguda- flyover connection for joining DN</t>
  </si>
  <si>
    <t>Mar'26</t>
  </si>
  <si>
    <t>33 months</t>
  </si>
  <si>
    <t>COVID Pandemic, LWE affected areas, Delay in approval of ESPs and SIPs of Stations, Delay in removal of weigh bridge and siding line by CCL for 3rd line connectivity, Delay in declaration of PTR Diversion, Delay in shifting of utilities (i.e. Water Pipelines, Electrical LT, HT, EHT lines and mast &amp; Transformers, Shifting of S&amp;T Cables)</t>
  </si>
  <si>
    <t>₹ 7906.38 Cr</t>
  </si>
  <si>
    <t>increase in cost for private land acquisition</t>
  </si>
  <si>
    <t>₹ 4500.22 Cr</t>
  </si>
  <si>
    <t>Feb'26</t>
  </si>
  <si>
    <t>12 months</t>
  </si>
  <si>
    <t>Increase in cost manly due to Change is specifications (intorduction of Wide base PSC sleepers &amp; 260m panel Rail.), High level passanger platform, New FOB, Increased no of Crossing station, Converion of Block Hut to station, Provision of new Long loop and provision for diversion of existing double line &amp; new line to a new alignment after avoiding Palamu Tiger Reserve (PTR) zone increase of no. of ATs along with increase in cable CLS panel etc. 
Provision of EI Alteration instead of PI Alteration, MSDAC in place of DC Track Circuit, fire alarm system (not included in DE), 03/02 nos. quad cable provided in block section insted of single quad cable provision.</t>
  </si>
  <si>
    <t>Delay in land acquisition and change of scope of work from earth work to providing viaduct in 1.1km length.</t>
  </si>
  <si>
    <t>3rd &amp; 4th line between Vadlapudi -Gate Jn. cabin including Tie line between Gangavaram Port- Visakhapatnam Steel (12.04 Km)</t>
  </si>
  <si>
    <t xml:space="preserve">8 months </t>
  </si>
  <si>
    <t>Delay in giving land in steel plant, 
Limited working permissions inside Visakhapatnam Steel Plant, Taking passes for Private labour, 
Due to court case in finalisation of S&amp;T tender, etc.,</t>
  </si>
  <si>
    <t>1st revised estimate is under consideration with Railway Board.</t>
  </si>
  <si>
    <t>Rampur Dumra - Tal-Rajendra Pul-Additional bridge and doubling</t>
  </si>
  <si>
    <t>Flyover between Pendurti &amp; Simhachalam North to avoid surface crossing at Simhachalam</t>
  </si>
  <si>
    <t>11.04.2028</t>
  </si>
  <si>
    <t>2 months</t>
  </si>
  <si>
    <t xml:space="preserve">Delay in land acquisition proceedings and working permission for endowment land for flyover works
Non finalisation of ESPs,
shifting of utilities (pipelines by GVMC, Electric Poles &amp; Transformer by APEPDCL &amp; APTransco, 
Shifting of Cables) </t>
  </si>
  <si>
    <t>Sagauli-Valmikinagar</t>
  </si>
  <si>
    <t>increase in cost for endowment land</t>
  </si>
  <si>
    <t>Gaya Bye pass for Manpur</t>
  </si>
  <si>
    <t>3rd &amp; 4th line of Sarla-Sason Patch of Sambalpur-Jharsuguda Section</t>
  </si>
  <si>
    <t xml:space="preserve">Cost over run as per sanctioned revised estimate due to change of scope from flyover line in earth work formation to 2 nos of viaducts(1.1km length) and increase in land cost over period of time. </t>
  </si>
  <si>
    <t>15 months</t>
  </si>
  <si>
    <t>Dispute with forest department at Sarla yard</t>
  </si>
  <si>
    <t>Change in Scope of Work based on Actual Field requirement, Escalation in Land Acquisition value</t>
  </si>
  <si>
    <t>Muzaffarpur-Sugauli</t>
  </si>
  <si>
    <t>Kirandul-Jadgalpur (150 km)</t>
  </si>
  <si>
    <t>Mar'25</t>
  </si>
  <si>
    <t>Flyover at Haridaspur to connect Haridaspur - Paradeep New BG Line</t>
  </si>
  <si>
    <t>40 months</t>
  </si>
  <si>
    <t>Mar'2020</t>
  </si>
  <si>
    <t>7 years</t>
  </si>
  <si>
    <t>3 year</t>
  </si>
  <si>
    <t xml:space="preserve">Delay in Land acquistion
</t>
  </si>
  <si>
    <r>
      <rPr>
        <b/>
        <sz val="10"/>
        <color theme="1"/>
        <rFont val="Arial"/>
        <family val="2"/>
      </rPr>
      <t>COVID pandemic and commissioning of last block section of Muzaffarpur-Kaparpura section (6.89 Km) Only 6.89 km section is remaining.</t>
    </r>
    <r>
      <rPr>
        <sz val="10"/>
        <color theme="1"/>
        <rFont val="Arial"/>
        <family val="2"/>
      </rPr>
      <t xml:space="preserve">
As per DPR of the said project, initially it was planned to take off the proposed doubling from MFP-SMI line (after ROB Damdarpur) due to space constraint in accommodating additional new line, hence, in order to complete doubling upto MFP as directed by higher authority, construction of new ROB Damodarpur to accommodate third line was proposed in revised estimate and got sanctioned by GM/ECR. Also ESPs of MFP and KVC revised multiple times as per requirement of operating department. Finally it has been decided by higher authority to commission doubling of MFP-KVC section (last block section) with construction of Damodar Pur ROB. The work of new ROB Damodarpur is in progress and is planned to be completed by Mar-28. However, to construct additional new line upto MFP, the existing ROB is required to be dismantled for which TDC is June-28 as dismantling of ROB over running line is to be done and hence, commissioning of MFP-KVC will be done by July-28.</t>
    </r>
  </si>
  <si>
    <t>Most of the works in the section have been completed. However, delay in land acquisition has affected the execution of the balance works. The project passes through Naxalite-affected areas of Bastar and Dantewada districts of Chhattisgarh, where restricted working hours and security-related constraints have adversely affected the progress of works. Further, execution involves hard-rock excavation and blasting in the proximity of the existing running track, necessitating traffic and power blocks, which has also constrained the working time and contributed to the delay in completion of the balance works.</t>
  </si>
  <si>
    <t>1185.73 crore</t>
  </si>
  <si>
    <t>1744.84 crore</t>
  </si>
  <si>
    <t>559.11 crore</t>
  </si>
  <si>
    <t xml:space="preserve">Additional work of two nos. ROB and doubling upto Muzaffarpur. </t>
  </si>
  <si>
    <t>143.72 (DPR Cost)</t>
  </si>
  <si>
    <t>Land Acquisition, Law and Order Issue</t>
  </si>
  <si>
    <t>Contract awarded</t>
  </si>
  <si>
    <t>Gomoh- Flyover for DN trains</t>
  </si>
  <si>
    <t>Flyover Between Siju and Paradeep coaching yard to avoid surface crossing of trains</t>
  </si>
  <si>
    <t>248.63 (1st Revised Cost)</t>
  </si>
  <si>
    <t>Due to an increase in land area and updation of rates as per DSR-2023 and unit rates of 2026-27 for P-Way materials.</t>
  </si>
  <si>
    <t>ER</t>
  </si>
  <si>
    <t>Byepass at Sainthia (5 Km), Sitarmpur (7 Km), Mughalsarai, Allahabad, Etawah (11 Km)</t>
  </si>
  <si>
    <t>3rd &amp; 4th Line between Visakhapatnam (VSKP) -Gopalapatnam (GPT)</t>
  </si>
  <si>
    <t>Land Acquisition of Sainthia Bypass</t>
  </si>
  <si>
    <t>Delay in land acquisition (awaiting handover of land)
shifting of utilities (pipelines by GVMC authorities , 
Electric Poles &amp; Transformer by APEPDCL &amp; APTRANSCO, 
Delay in finalisation of VSKP, GPT and Marripalem ESPs.
Shifting of Cables .</t>
  </si>
  <si>
    <t>ER- 548 Cr</t>
  </si>
  <si>
    <t>The excess over the approved deposit  is mainly due to cost overrun on account of frequent interruptions by anti-social elements, delay in tree cutting permission/felling by Forest Dept., land ownership issue w.r.t. FCA 1980, reduction in working hours, inaccessibility, difficult hilly terrain, delay in establishing CORAS camps by State Govt. of C.G., getting land from State Govt. for CORAS multiple times cancellation of tenders due to poor response to open tenders, as well as price escalation over the period</t>
  </si>
  <si>
    <t>ER- 798 Cr</t>
  </si>
  <si>
    <t>250 Cr</t>
  </si>
  <si>
    <t>Administrative reason</t>
  </si>
  <si>
    <t>Change in Scope of work</t>
  </si>
  <si>
    <t>NCR</t>
  </si>
  <si>
    <t>Bhadrak-Nergundi 3rd line (80 km)</t>
  </si>
  <si>
    <t>Jhansi-Bina 3rd line</t>
  </si>
  <si>
    <t>Oct'2020</t>
  </si>
  <si>
    <t>6 year 6 months</t>
  </si>
  <si>
    <t xml:space="preserve">Increase in scope at Marripalem yard, </t>
  </si>
  <si>
    <t>1. Delay in land acquisition and handing over of the required land to the contractor.
2. Non-availability and shortage of essential construction materials, such as earth, moorum and sand.
3. Termination of the existing contract due to non-performance/delay in execution of the work.
4. Time consumed in the process of preparation, invitation and finalization of a fresh tender and award of the new contract.
5. Unfavourable weather conditions and monsoon-related interruptions affecting earthwork and other construction activities.</t>
  </si>
  <si>
    <t>4th line between Kottavalasa - Vizianagram</t>
  </si>
  <si>
    <t>25.08.2026</t>
  </si>
  <si>
    <t>24 months</t>
  </si>
  <si>
    <t>Delay in land acquisition proceedings and shifting of utilities(pipelines, Electric Poles &amp; Transformer, Shifting of Cables) , Delay in finalisation of ESPs</t>
  </si>
  <si>
    <t>Due to an increase in the scope of work beyond the originally approved provisions and price escalation in construction materials, labour, machinery and other inputs during the execution period.</t>
  </si>
  <si>
    <t>Change in Scope of Work based on Actual Field requirement, Market Inflation increase in cost of raw material</t>
  </si>
  <si>
    <t>due to increase in cost of private land</t>
  </si>
  <si>
    <t>Sakri-Hasanpur</t>
  </si>
  <si>
    <t>3rd &amp; 4th Line Paradeep - Badabandha</t>
  </si>
  <si>
    <t>2007-2008</t>
  </si>
  <si>
    <t>June'28</t>
  </si>
  <si>
    <t xml:space="preserve">1.        From Sakri-End i.e from Sakri to Biraul (36 Km) was opened for passenger traffic in Dec, 2008. From Biraul to Harnagar (8Km)  was opened for passage traffic in Aug, 2018.
2.        From Hasanpur-End ie. From Hasanpur to Bithan (10 Km) was commissioned by CRS on 28.03.2023
3.        For the balance part of the project, the alignment near Kusheshwar Asthan lied in notified bird sanctuary zone and work was stopped by Forest Authority since Dec, 2008 
4.        Ministry of Environment has given clearance for construction of railway line through the bird sanctuary zone with provision of Animal Passage costing more than 400Cr along with imposing Speed Restriction and restriction on using Electric Engine. Hence it was decided for adopting alternate alignment avoiding Bird Sanctuary.
5.        Feasibility of alternate alignment was explored and has been finalised by Railway Board in Dec, 2023
6.        Due to new detour alignment, Kuseshwar Asthan Staion has been shifted out of bird sanctuary zone.
</t>
  </si>
  <si>
    <t>Mathura-Jhansi 3rd line</t>
  </si>
  <si>
    <t>No Cost overrun</t>
  </si>
  <si>
    <t xml:space="preserve">3 years </t>
  </si>
  <si>
    <t>Kitham-Bhandai Bypass line with Land Acquisition and Forest Issues.</t>
  </si>
  <si>
    <t>Fly over from Sambalpur City end to connect the DN grid of Sarla to avoid surface crossing</t>
  </si>
  <si>
    <t>3677.76 Cr</t>
  </si>
  <si>
    <t>5960.76 Cr</t>
  </si>
  <si>
    <t>2283 Cr</t>
  </si>
  <si>
    <t>March'2027</t>
  </si>
  <si>
    <t>Price Escallation &amp; Land cost, Forest clearance related Cost, High embankment and increase in Bridges in Kitham-Bhandai Bypass line section.</t>
  </si>
  <si>
    <t>21 months</t>
  </si>
  <si>
    <t xml:space="preserve">The Kitham-Bhandai bypass line section had to be done with vast Land acquisition [153 Ha]  in outskirt of Agra City, with removal of 5094 trees with permissioon fro Hom'ble Supreme Court, in High bank requiring huge earthwork, sevreal bridges increased durion execution on demad by public and Civil Administration, as such time and cost increase. </t>
  </si>
  <si>
    <t>272.64 cr</t>
  </si>
  <si>
    <t>Jhansi-Khairar-Manikpur &amp; Khirar-Bhimsen</t>
  </si>
  <si>
    <t>31/3/2026</t>
  </si>
  <si>
    <t>Land acquisition in progress.</t>
  </si>
  <si>
    <t>Due to extra time being taken in construction of Important Bridge at Dhasan River due to standing water, time overrun has occurred.</t>
  </si>
  <si>
    <t>MCRL Inner Corridor Phase-I Doubling</t>
  </si>
  <si>
    <t>Khagaria-Kusheshwarsthan</t>
  </si>
  <si>
    <t>1997-98</t>
  </si>
  <si>
    <t>2002-2003</t>
  </si>
  <si>
    <t>Mar'27</t>
  </si>
  <si>
    <t>2 Months</t>
  </si>
  <si>
    <t>1.        The patch of Khagaria to Alauli (19KM) has been completed in year 2022 and the section was commissioned for goods traffic on 04.05.2022. Further CRS done &amp; commissioned for passenger traffic on 13.03.2025
2.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3.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4. Further the location of Kusheshwar Asthan station location got changed to due detouring in aligment of Hasanpur-Kueshwar Asthan-Sakri Project due to notified bird sanctuary.</t>
  </si>
  <si>
    <t>Forest &amp; Wildlife Clearance, Phase wise Sanctioning</t>
  </si>
  <si>
    <t>Original Sanctioned Cost of Detail Estimate:- Rs. 4330 Cr, Anticipated Cost:- Rs. 4330 Cr, Cost Overrun w.r.t. Detail Estimated Cost is Nil.</t>
  </si>
  <si>
    <t>Lalitpur-Birari with flyover at Lalitpur</t>
  </si>
  <si>
    <t xml:space="preserve">
1.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2.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3. Further estimate has csot over run due to market inflation of construction material &amp; fuel, Contractual Price Variation etc.
</t>
  </si>
  <si>
    <t>Permanent diversion of fire affected Dhanbad- Chandrapura line by Dhanbad- Ispatnagar line via Telulmari, Nichitpur, Matari, Telo including Y connection at Dhanbad and Ispatnagar</t>
  </si>
  <si>
    <t>Koderma-Tilaiya</t>
  </si>
  <si>
    <t>NER</t>
  </si>
  <si>
    <t>Bahraich &amp; Khalilabad via Binga, Shravasti, Balrampur, Utraula, Domariyaganj, Mehdawal, Bansi new BG Line</t>
  </si>
  <si>
    <t>Barauni- Bachwara 3rd &amp; 4th line</t>
  </si>
  <si>
    <t>Hajipur-Sagauli via Vaishali</t>
  </si>
  <si>
    <t>38 months</t>
  </si>
  <si>
    <t>1. Yard remodeling of TGA included in work
2. Major Yard remodeling at Barauni
3. Change in signalling system from Absolute to Automatic
4. Shifting of Utilities &amp; Signal cable lying along the entire alignment hindering earthwork
5.Encroachment in land</t>
  </si>
  <si>
    <t>Mar'20</t>
  </si>
  <si>
    <t>Bhatni-Aurnihar with electrification (125 Kms) excluding Indara-Mau</t>
  </si>
  <si>
    <t>88 Months</t>
  </si>
  <si>
    <t>31.03.2024</t>
  </si>
  <si>
    <t>32 Month</t>
  </si>
  <si>
    <t xml:space="preserve">1. Delay in receiving the forest clearance. On line proposal for diversion of 162.87 hectare Land and cutting of trees 6715 nos  was submiited on 31.01.2020 and stage -II approval received on 04.05.22 resulting in 16 Minth effective delay.
2. outbreak of  Covid-19 and subsquent lockdown paralyse the project progress in 2020 &amp; 21.
3. During the execution of Project, the State Bridge Construction Corporation stopped the heavy vehicle movement over the Ghagra bridge due to repair work carried out w.e.f 14.01.2022. Due to restriction imposed, Earthwork at Important Bridge-31 approach and   transportation of blanketing material  suffered.
4.Kumbh Mela 2025: Due to Kumbh Mela 2025, Line suspensions and Cut &amp; Connection Works/Blocks &amp; Pre-NI/NI works were  not allowed from Nov-24 to Feb-25, resulting  in delay of works by atleast 4 months.
5.Complex section  due to the involvement of 13 cut and connections-This section is uniquely complex, differing from a normal doubling project due to the involvement of 13 cut and connection locations ie about 01 Cut &amp; Connection in every block section .Due to involvement of cut &amp; connections, continuous patches were not available in the section &amp; many locations were isolated in section.This created difficulty in the transporting materials such as Earthwork, Blanket, Ballast , Rail etc. at the location
</t>
  </si>
  <si>
    <t xml:space="preserve">1. Project was sanctioned in the year 2003-04..The work for new line between HJP-SGL was started in Dec’08 after DE sanction. But, allocation of fund was not sufficient to cater the demand of land cost along with contractual expenditure till year 2014-15.                                                                                                                                                                                  
2.  Inconsistent fund allotment in initial year i.e. up to year 2015 led to delay in land aquisition. Apart from above, delay in handing over of land under Dist.-Motihari (East Champaran) in spite of payment made for all land to be acquired up to year 2017. Handing over of Land under Dist.-Motihari by State Govt started since year 2022 and complete handover done in year 2025. Also during execution a lot of obstruction was faced from land looser due to their non-payment of land cost, dispute etc. which was subsequently resolved by police force deployment.                                                                                                                                                         
3. Further lot of time taken in exchange of land in around one Km from Canal Division, Muzaffarpur which falls between section Deoria Sahebganj. Due to this delay in exchange of land with Canal Division (approval by Bihar Cabinet), handed over in January 2025 with work permitted in March 2025, which was subsequently stopped due to canal land area being Protected Forest, progress of work hampered. Forest clearance proposal applied on 03.04.2025, Stage 1 clearance granted on 31.12.25, and subsequntly tree cutting permission issued in June 2026. </t>
  </si>
  <si>
    <t>Sonenagar bye pass line from Chiralapothu to Bagha Bishunpur</t>
  </si>
  <si>
    <r>
      <rPr>
        <b/>
        <sz val="10"/>
        <color theme="1"/>
        <rFont val="Arial"/>
        <family val="2"/>
      </rPr>
      <t>Major Reasons for increase in cost due to price escalation (Impact INR 1162Cr.)</t>
    </r>
    <r>
      <rPr>
        <sz val="10"/>
        <color theme="1"/>
        <rFont val="Arial"/>
        <family val="2"/>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r>
      <rPr>
        <b/>
        <sz val="10"/>
        <color theme="1"/>
        <rFont val="Arial"/>
        <family val="2"/>
      </rPr>
      <t>Major Reasons for increase in cost due to other than price escalation (Impact INR 188 Cr.)</t>
    </r>
    <r>
      <rPr>
        <sz val="10"/>
        <color theme="1"/>
        <rFont val="Arial"/>
        <family val="2"/>
      </rPr>
      <t xml:space="preserve">
The increase in project cost is mainly attributable to payment to forest department, providing of 550 mm thickness blanket over 400 mm as per estimate, expansion of civil, track, station, LC building LHS ,  works.  Further increases arose from  expanded S&amp;T requirements, including  dual-detection MSDAC for 15 track section complete with 18 detection heads as per instruction of NER , Supply of SSBPAC and transfer of fund for yard remodelling of Aurnihar Yard and  for Peokol and Bhatni Syard done by NER construction.
</t>
    </r>
  </si>
  <si>
    <t>Forest &amp; Wildlife Clearance, Land Acquisition, Law and Order Issue</t>
  </si>
  <si>
    <t>Change in Scope of Work based on Actual Field requirement, Market Inflation increase in cost of raw material, Administrative reason</t>
  </si>
  <si>
    <t>Doubling of Pradhan Kuntha Jn- Pathardih Bazar- Bhojudih</t>
  </si>
  <si>
    <t>NFR</t>
  </si>
  <si>
    <t>New Bongaigaon- Goalpara-Guwahati (Kamakhaya)</t>
  </si>
  <si>
    <t>Surface Triangle Line between Bhadaura Station and Karma Station ( Dildarnagar-Tarighat Line)</t>
  </si>
  <si>
    <t xml:space="preserve">The doubling work was stopped by the NGT, East Zone, vide order dated 18.01.2018, and the NFR was directed to include mitigation measures to prevent potential elephant- train collisions. On the request of the Chief Wildlife Warden of Assam, Dr. Bivash Pandav of WII had visited the site in January 2019 and WII had suggested realignment of the railway track or construction of a tunnel. Both were found to be unfeasible from the financial and technical point . Subsequently, NFR has proposed an elevated track for elephant movement. The plan was discussed in a meeting held by the Chief Secretary, Assam on 25th June 2021. A field visit by the WII team was subsequently carried out during 27th – 30th September 2021. The entire length of the railway track was surveyed, and the locations and structural dimensions of all proposed mitigation measures. NBWL clearance has been obtained on 28.04.2022 After NBWL clearance stage I clearance for 0.82 ha forest land has been obtained. After requisite clearances soil exploration and other works has been taken up in this portion for designa. At present the EPC tender has been awarded and work is in progress.
</t>
  </si>
  <si>
    <t xml:space="preserve">Main reason for cost  increase is due to introduction of 4.75km double track viaudct for the elephant corridor and 2 nos new LHS and 1LHS extension and the price escalations over the entire project. The Minor cost escalation is due to increase in track centre result in increase in earthwork qty at bridge location and track component as per latest guidelines. </t>
  </si>
  <si>
    <t>Doubling of Chandrapura - Jamuniatand section</t>
  </si>
  <si>
    <t>NR</t>
  </si>
  <si>
    <t xml:space="preserve">1. Due to increase in cost of Land Acquisition as per prevailing Land Acquisition Act.
2. Initially it was planned to provide LCs, accordingly embankment height was fixed as average height of 3.0m. The section from Hajipur to Vaishali was commissioned with provision of LCs. Meanwhile, due to change in policy, LCs are eliminated by providing the RUBs between Vaishali &amp; Sagauli section. Subsequently, embankment height was revised as average 5.7m from Vaishali to Sagauli. Also, as per the revised IRSOD, the minimum formation width has been changed from 6.85m to 7.85m.
3. Initially, in Hajipur-Vaishali (35.0Km) section, 300mm blanketing layer was considered. Meanwhile, due to revision of RDSO guidelines (RDSO specification no.-RDSO/2020/GE:IRS-0004, Sept'20), 550mm thick blanket layer has been considered in Vaishali-Sagauli (115.763Km) section.
4. Due to raising of embankment height to provide RUB/LHS to eliminate LCs in line with Rly Board policy, additional land acquisition was involved as there are only 40m land width was acquired in the HJP-SGL section. To overcome the tedious &amp; time taking (about 1.5 to 2 yrs) procedure of land acquisition and in view of target for opening of the section, it is planned to provide retaining wall in approx. 24.40Km route length (Total 48.80 Km) in Vaishali - Sagauli section.
5. Due to change in specification of track structure per IRPWM.
6. Due to change in policy, various passenger amenities work has been considered as per minimum essential amenities guidelines issued by the Rly Board. Also conversion of Harauli Fatehpur from       3-Line Xing to 5-Line xing Station which has been sanctioned as 2nd MM.
7. Scope of minor bridges including RUBs has been increased from 215 nos. to 493 nos. (minor br.-267nos., RUBs- 218nos. &amp; Subway-08nos.). Scope of minor bridges has been increased due to increase in irrigation network system during past 10 years and scope of RUBs has been increased mainly due to consideration of LC elimination policy of Rly Board and due to rapid development of rural road network in past 10 years, the scope of road crossing has been increased which ultimately increases the scope of RUBs/LHS.
8. The scope of major bridges has been increased from 16nos. to 35 nos. (Br.-30nos. &amp; RUB-05nos.). Scope of Major Bridges has been increased mainly due to change of span from minor br. to major br. during process of getting NOC from concerned state authorities. Also, due to development in canal distributary system, some major bridges have been considered.
9. Due to material modification for Electrical/TRD work.
10. Also an impact of time over run resulting price escalation. </t>
  </si>
  <si>
    <t>Ferozpur-Patti ©</t>
  </si>
  <si>
    <t>Sitamarhi-Jayanagar-Nirmali via Susand</t>
  </si>
  <si>
    <t>NS</t>
  </si>
  <si>
    <t>Rail over Rail (RoR) between Patratu-Tokisud</t>
  </si>
  <si>
    <t>Ludhiana-Kila Raipur(19 Kms) with freight line at Gill station on LDH-JHL</t>
  </si>
  <si>
    <t>44 Months</t>
  </si>
  <si>
    <t>Commissioning of doubling is being planned along with complete yard remodelling including EI of Ludhiana Yard.</t>
  </si>
  <si>
    <t>1. The Sitamarhi–Jaynagar–Nirmali via Sursand New Line Project (188.90 km) was sanctioned during 2008–09. Subsequently, the project was placed under the list of frozen works, restricting its execution and incurrence of expenditure. The Railway Board subsequently de-froze the project vide letter No. 2015/W-2/ECR/NL/12 dated 29.09.2025.
2. Thereafter, a fresh tender was awarded for conducting an aerial topographical survey using DGPS-based integrated drone technology, traffic studies, calculation of EIRR and FIRR, preparation of revised L-section, DPR, ESP, SIP and GAD, soil exploration, preparation of reports, Bill of Quantities (BOQ), EPC tender documents and other ancillary works in connection with the project under Samastipur Division of East Central Railway. The Letter of Acceptance (LOA) was issued on 06.03.2026. However, the agency failed to submit the Performance Guarantee within 60 days from the date of issue of the LOA. Consequently, the tender was terminated vide notice No. ECR/CAO/CON/WT/E-Tender/North/32/25-26/655 dated 29.05.2026.
3. Subsequently, a fresh tender for Final Location Survey (including geotechnical studies, design and preparation of drawings) and other preliminary activities for preparation of the DPR, including electrical, signalling, operating/traffic works and preparation of the EPC bid package, was floated on 07.10.2026 on a Quality and Cost Based Selection (QCBS) basis.</t>
  </si>
  <si>
    <t>ROR at Sasaram connecting GC to Ara-Sasaram Line</t>
  </si>
  <si>
    <t>Work is in progress.</t>
  </si>
  <si>
    <t>Barabanki-Malhaur - 3rd &amp; 4th Line(32.84 km)</t>
  </si>
  <si>
    <t>Ara Byepass Line to be connected from Jagjivan Halt to existing ARA-Sasaram line through link cabin (Y-Connectivity at Ara)</t>
  </si>
  <si>
    <t>Araria-Supaul</t>
  </si>
  <si>
    <t>NWR</t>
  </si>
  <si>
    <t>Nimach-Badi sadri</t>
  </si>
  <si>
    <t>48 months</t>
  </si>
  <si>
    <t>1. Whole stretch lies in the Kosi River belt. Very limited working season due to frequent rain and flooding in Borrow area. Also, this belt has very high water table.
2. Insufficient fund to this project in the initial day due to COVID.
3. Acquisition of Land delayed to unavailabilty of fund.</t>
  </si>
  <si>
    <t>Multi tracking of Son Nagar – Andal</t>
  </si>
  <si>
    <t>Marwar-Mavli (GC of Nathdwara (Mavli)-Devgarh Madariya (82.542 Km) )</t>
  </si>
  <si>
    <t>SCR</t>
  </si>
  <si>
    <t>Kazipet -Ballarshah - 3rd line Excl. Mandamari-Raghavapuram</t>
  </si>
  <si>
    <t>Y connection between Kujju-Ranchi Road Station</t>
  </si>
  <si>
    <t>Renigunta, Wadi &amp; Gooty Byepass</t>
  </si>
  <si>
    <t>Madhupur bye-pass line</t>
  </si>
  <si>
    <t>2 Yrs 9 months</t>
  </si>
  <si>
    <t>Vijayawada, Kazipet Byepass line</t>
  </si>
  <si>
    <t>1. Cost land increased significantly.
2. Due to increase in height of embankment throughout the section so that potential Level crossing can be eliminated. Bank height increased to provide the vertical clearance for NH &amp; RCD for RUBs with minimum clear height of 5.50m.
3. Increase in scope of major bridges &amp; LHS at the places where Pucca/Bituminous road already available during construction, 
4. Increase in blanket thickness from 300mm to 550mm as per latest RDSO guidelines, 
5. Increase in road network in the project length which ultimately increases the scope of RUBs significantly.</t>
  </si>
  <si>
    <t>Durgapur Coke Oven Plant (DCOP)-Durgapur 5th Line</t>
  </si>
  <si>
    <t>Kursela-Bihariganj</t>
  </si>
  <si>
    <t>Vijaywada- Gudur 3rd line</t>
  </si>
  <si>
    <t>2024-25</t>
  </si>
  <si>
    <t>10 months</t>
  </si>
  <si>
    <t>Dismantling of existing arch type utility bridge (Br No 396A) by Asansol division</t>
  </si>
  <si>
    <t>31.09.2022</t>
  </si>
  <si>
    <t>51 months</t>
  </si>
  <si>
    <t>(1) COVID Pandemic, (2) Delay in land acquisition process and limited working period due to extended  monsoon period being a Coastal area (3) Delay in approval of Drawings, Extended scope due to Material modification consequent up on sanction of Krishna Canal Yard modification works.</t>
  </si>
  <si>
    <t>Mughalsarai-Allahabad, 3rd line</t>
  </si>
  <si>
    <t xml:space="preserve">1.        It's 1st Part-Detailed estimate amounting to Rs. 42.99 Cr for Civil Engineering portion for preliminary expenses, land acquisition, formation and minor bridges for stretch Kursela-Rupauli section (19.9km) was sanctioned by Rly Bd. on 21.08.2008.
2.        Application for land acquisition for 11 nos. villages for 150 acre land for initial 8.7 km stretch from Kursela side of Katihar district was filed in 2008-09. To which, State Government demanded Rs. 6.77 Cr for payment.
3.        Further, State Government demanded the escalated cost as Rs. 8.88 Cr in year 2011-12 but fund couldn’t be transferred due to insufficient allotment.
4.        Since then, no sufficient fund allotment has been made in any of the financial year and land acquisition couldn’t be completed. Rs. 0.10 Cr is allotted for year 2024-25 which is insufficient for land acquisition. 
5.        Railway Board vide its letter D.O. no. 2019/W-1/Genl./Budget/1, dated: 24.09.2019 has instructed to have no further expenditure till further orders
6.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</si>
  <si>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(1) Increase in cost of Construction Material and Labour (2) Increased scope of work  (3) Construction of ROR between Gudur - Venkatachalam (4)  Increase in height of embankment in various sectoins (5) Imaprovement to yielding Formatoin in Appikatla - Nidupbrolu section (6) Requirement of Quad cable and OFC has increased for provision of MSDAC (7) Requirement of IPS has increased as per new guidelines of RDSO (8) Revised Enhanced power requirement schedule given by SCR for signalling Load from 10 kVA to 25 kVA, the capacity of entire CLS Panel &amp; UG cable were upgraded to 25kVA load (9) As per APSPDCL the PLC modified with enhanced capacity/size of HTUG Cable from 3x185Sq.mm  to 3x 300Sq.mm in all the PLC modification locations.  (10) Addidtional service buildigns and residential buildings hav ebeen constructed to the revised estiate as per the requirement of division including provision of circulating area at stations.  Also the legnth of platforms is increased and existing platforms are proposed with high level. (11) The usage of wider  sleepers and points and crossings necessitated new type track fittings to revised specificatoins  also TWS with SSD &amp; CMS were used in all the yards has caused considerable excess in the cost. (12)  About 70 Nos. of LCs are  being taken up for eliminiation by constructing RUBs.(13)Price Escalation consequent up on increased cost of Men and Materials.</t>
  </si>
  <si>
    <t xml:space="preserve">1.        Railway Board vide its letter D.O. no. 2019/W-1/Genl./Budget/1, dated: 24.09.2019 has instructed to have no further expenditure till further orders
2.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</si>
  <si>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Out of a total  length of 287.87 km tripling with OHE, 281.87 km has been commisioned till date.  Only a balance of 7 km along with Krishna Canal junction yard modification is pending, however, this last section is also getting commissioned in Jan-2027.</t>
  </si>
  <si>
    <t>Guntakal- Guntur</t>
  </si>
  <si>
    <t xml:space="preserve">Due to price escalation as there was almost 4 year difference from project appeared in Pink Book to detailed estimate sanction </t>
  </si>
  <si>
    <t>Market Inflation increase in cost of raw material</t>
  </si>
  <si>
    <t>Aligarh Flyover</t>
  </si>
  <si>
    <t>Seohar-Sitamarhi</t>
  </si>
  <si>
    <t>2020-21</t>
  </si>
  <si>
    <t>SECR</t>
  </si>
  <si>
    <t>Dharamjaigarh-Korba</t>
  </si>
  <si>
    <t>Chirimiri-Nagpur Halt ©</t>
  </si>
  <si>
    <t>Land acquisition</t>
  </si>
  <si>
    <t>Agra Fort and Bandikui</t>
  </si>
  <si>
    <t>Jharsuguda-Bilaspur -4th line</t>
  </si>
  <si>
    <t>Jaynagar-Bijalpura, incl. extn. Bet, Bijalpura-Bardibas (Nepal)</t>
  </si>
  <si>
    <t>Aligarh - Daud Khan 3rd line &amp; construciton of flyover at Daud khan</t>
  </si>
  <si>
    <t>Gevra Rd-Pendra Rd</t>
  </si>
  <si>
    <t>Jharsuguda-Bilaspur - Flyover/ Bye pass</t>
  </si>
  <si>
    <t>Cost of land was not taken in PB cost</t>
  </si>
  <si>
    <t>Rajnandgaon-Nagpur 3rd line</t>
  </si>
  <si>
    <t>Allahabad - Bumrauli 4th line (10 Km) with flying over atSubedarganj</t>
  </si>
  <si>
    <t>Tarakeshwar-Bishnupur (82.46 Km) with Ext up to Dhaniakhali(19 km) , Arambagh-Irphala (18.3 km) &amp; new MM for Irphala-Ghatal (11.2 km) &amp; Arambagh-Champadanga (23.3 km), Mayonapur-Kamarpukur (19 km) &amp; Bishnupur – Uparsol (31.80 Km</t>
  </si>
  <si>
    <t>Raipur-Titlagarh (203 km) incl. NL Mandir Hasaud-Naya Raipur (20 km) &amp; new MM for conversion of Raipur(Kendri)-Dhamtari &amp; Abhanpur-Rajim branch (67.20 km)</t>
  </si>
  <si>
    <t>Aug'16</t>
  </si>
  <si>
    <t>Bhandai - Flyover for etawah bound down train (10 Km)</t>
  </si>
  <si>
    <t>SER</t>
  </si>
  <si>
    <t>127 months</t>
  </si>
  <si>
    <t>Bondamunda-Ranchi</t>
  </si>
  <si>
    <t xml:space="preserve">Work stopped at a stretch of 900m at Bhaba Dighi Pond between Goghat-Kamarpukur section since 2016, due to Law &amp; Order issue. Case resolved on Dec'2025. </t>
  </si>
  <si>
    <t>Delay in forest clearance/working permission in three block sections.
Rock cutting 27 lakh cum in forest area in three block sections. 
Rock cutting in deep cuttings with precautions for safety of running trains. Compliance to blasting permission regime in naxal influenced area.
Non availability of land in one block section (Link C- Dumetra).</t>
  </si>
  <si>
    <t>Doubling of Billi- Chunar</t>
  </si>
  <si>
    <t>Assesment of hard quantity was less than actual.</t>
  </si>
  <si>
    <t>4th line between Pankidham-GMC</t>
  </si>
  <si>
    <t>Kharagpur-Adityapur 3rd line</t>
  </si>
  <si>
    <t xml:space="preserve">Excess expenditure due to revised scope of work </t>
  </si>
  <si>
    <t>4 years 4 months</t>
  </si>
  <si>
    <t>Anandnagar-Ghugli</t>
  </si>
  <si>
    <t>1. Due to frequent modification of ESPs and subsequent changes in works.                                             2. Late approval of alignment plan of NMP-KKQ section.                                                                        3. Lockdown due to Covid 19 pandemic.                                       4. Increasing of scope of work related to Yard remodeling works.                                                          5. Introduction of wider base PSC sleeper in place Ordinary sleeper.                                                                6. Introduction of MSDAC etc.</t>
  </si>
  <si>
    <t>Sultanganj-Katuria via Asarganj, Tarapur &amp; Belhar</t>
  </si>
  <si>
    <t>Aug'11</t>
  </si>
  <si>
    <t>235 months</t>
  </si>
  <si>
    <t>1. Increase of E/W from 35.82 Lakh cum to 55.01 Lack CUM due to increase of yard lines, turn-outs, long loop, TM siding, change of TC from 5.3m to 7.8m and increase of formation width as per Rly BD policy circular.
2. Procurement of LD slag due to non availability of good earth /blanketing material, for imposition of banning of mining materials by civil authority.
3. Additional loop lines at NMP, RHE, ADTP and construction of concrete drain for 34 km against DPR provision of 20 km.
4.Additional material cost for increase of turnouts from 241 to 476, Yard length from 20 km 44 km, Wider base PSC sleeper.                                                                                                                                                                           5. Payment to Rly for 15 nos LHS against 02 (DPR), Rubberised surface of 23 nos  LCs.                                                                                                                 6. Increase of minor bridge 157 nos to 171 nos, Conversion of 1 minor bridge to major bridge and increase of barrel length of minor bridges, additional protection works as per site condition, river training work.
7. Additional FOBs and high level platforms, circulating areas at different stations, service buildings from 3861sqm to 32191.39sqm and residential buildings from 68 to 153nos (Type II) from 8 to 14nos (Type IV) from 2 to 14 nos (Type -V) and additional payment to Rly for hire charges of track machine.                                                 
8.Price Variation etc.</t>
  </si>
  <si>
    <t>Sahjanwa-Dohrighat</t>
  </si>
  <si>
    <t>Project is kept in abeyance vide Railway Board Letter No. 2019/W-1/Genl/Budget/1,New Delhi 24.09.2019 and De-freezing this Project vide Railway Board Letter No. 2025/W-II/Genl/ER/NL/08(e-3508749) Dated 26.09.2025.</t>
  </si>
  <si>
    <t>Narayangarh-Bhadrak 3rd line</t>
  </si>
  <si>
    <t>Covid-19 pandemic.
Restricted supply &amp; increase in royalty on minor minerals. Waterlogged area-  difficult terrain in monsoons.
Removal of encroachments in two block sections (either side of Baleshwar station).</t>
  </si>
  <si>
    <t>Etah-Kasganj</t>
  </si>
  <si>
    <t>1. Increase in scope due to addition of station building , circulation area development , Loop line , tower wagon shad inclusion and incorporation of track machine siding and new FOB. 
2. Provision of double distance in NYA-BHC have been additionally incorporated in this estimate</t>
  </si>
  <si>
    <t>SR</t>
  </si>
  <si>
    <t>Morappur-Dharmapuri</t>
  </si>
  <si>
    <t>Doubling of Gorakhpur- Valmikinagar</t>
  </si>
  <si>
    <t>2029-30</t>
  </si>
  <si>
    <t>Pirpainti-Jassidih ©</t>
  </si>
  <si>
    <t>2013-14</t>
  </si>
  <si>
    <t>32 months</t>
  </si>
  <si>
    <t>Trivandrum- Kanyakumari</t>
  </si>
  <si>
    <t>Construction of Mahisasan (India) - Zero Point (Bangladesh) New Line (2.7 km)</t>
  </si>
  <si>
    <t>SWR</t>
  </si>
  <si>
    <t>Bangalore-Whitefield-Bangalore City-Krishnarajapuram Quadrupling</t>
  </si>
  <si>
    <t>2 Years 7  months</t>
  </si>
  <si>
    <t>Gwalior-Sheopurkalan with extension to Kota</t>
  </si>
  <si>
    <t>1. The entire stretch falls in the Bangalore city area with heavy road traffic.  The movement of construction vehicles is prohibited between 08.00AM to 11.00AM and between 04.00 P.M to 08.00 PM, therefore, the work needs to be carried out mostly during night hours. Most of the stretch has restricted access due to built up area adjacent to Railway land.
2. Railway land available for Quadrupling work is just sufficient to lay 2 additional railway tracks and around 12km of retaining wall construction was mandatory due to which shifting of amenities of railwaya sn state amenities and road closures cordination with statte govt. authorities delatyed work. 
3. The entire reach between Bangalore Cantonment-Whitefield is automatic signalling territory having S&amp;T cables at both sides of existing tracks. Earthwork and retaining wall work has to be carried out in the presence of signalling staff to avoid cable cut incidences. Further, location boxes are required to be shifted/protected. Huge bunch of cables are found during excavation for retaining wall and work has to be done very slowly. 
4. Due to shifting of utilities pertaining to BWSSB (Bangalore Water supply and Sewerage Board), BESCOM (Bangalore Electric Supply Co), GGL (Gail Gas Ltd) pipeline etc.
5. Due to freeing of Railway land/soft enchroachment being used as City Roads at few locations.
6. Delay in obtaining permission from forest dept. towards felling down of trees. 
7. Involvement of huge pre-NI/NI works for commissioning the 3 major yards in busy Bengaluru suburban traffic area.</t>
  </si>
  <si>
    <t>Doubling of Agthori-Kamakhya section with construction of new Rail-cum-Raod Bridge at Saraighat</t>
  </si>
  <si>
    <t>3rd Line between Kamakhya - Guwahati</t>
  </si>
  <si>
    <t xml:space="preserve">1. Increase of Earthwork from 2.34  lakh cum to 4.22 lakh cum for bridge formation, approaches, retaining wall    construction and cut &amp; connection.
2. Constructing RCC wall  as required at site due to land constraints.
3. Due to conversion of existing 66 KV DC Hoody LILO Line to proposed 132kV Class 1000 Sqmm U.G. Cable and Stores procurements. (Electrical work) which was infringing the hoodi station on the proposed quadrupling line.
4. Due to introduction of new S&amp;T item (MSDAC) 3 Major yard remodellings with latest EI . 
5. Due to increase in quantity of P.Way materials (PSC Sleepers, ERC clips, metal lines, Rubber pads).
</t>
  </si>
  <si>
    <t>WCR</t>
  </si>
  <si>
    <t>Indore-Budni (Indore-Jabalpur)</t>
  </si>
  <si>
    <t>Mar'30</t>
  </si>
  <si>
    <t>Dholpur-Sirmuttra with extension to Gangapur City</t>
  </si>
  <si>
    <t>In the original sanctioned estimate, the cost of Electrical (G) was not included, it has now been included in 1st RE. Cost of Electrical (TRD) and S&amp;T has also been increased in the 1st RE.</t>
  </si>
  <si>
    <t>₹ 3261.82 Cr</t>
  </si>
  <si>
    <t>The project was sanctioned by Railway Board on 27.04.2023. The tender for EPC work has been finalised with appointed date as 10.03.2026.</t>
  </si>
  <si>
    <t>Doubling of Lumding-Furkating section</t>
  </si>
  <si>
    <t>₹ 11916.03 Cr</t>
  </si>
  <si>
    <t>Katni- Grade separator / Byepass</t>
  </si>
  <si>
    <t>Doubling of Katihar- Kumedpur and Katihar- Mukuria</t>
  </si>
  <si>
    <t>Chhitauni-Tumkuhi Road</t>
  </si>
  <si>
    <t>Land Acquisition, Forest &amp; Wildlife Clearance</t>
  </si>
  <si>
    <t xml:space="preserve"> </t>
  </si>
  <si>
    <t>Katni- Singrauli</t>
  </si>
  <si>
    <t>NIL</t>
  </si>
  <si>
    <t>Chhapra-Ballia Patch Doubling (65 km)</t>
  </si>
  <si>
    <t>Satna-Rewa</t>
  </si>
  <si>
    <t>WR</t>
  </si>
  <si>
    <t>Vatwa- Ahmedabad- Sabarmati - 4th line</t>
  </si>
  <si>
    <r>
      <rPr>
        <sz val="10"/>
        <color theme="1"/>
        <rFont val="Arial"/>
        <family val="2"/>
      </rPr>
      <t>The 1st RE has been prepared for a gross cost of ₹2,141.82 Cr against the sanctioned DE of ₹942.64 Cr, an increase of ₹1,199.17 Cr (127.21%). Of this, ₹635.29 Cr is due to</t>
    </r>
    <r>
      <rPr>
        <b/>
        <sz val="10"/>
        <color theme="1"/>
        <rFont val="Arial"/>
        <family val="2"/>
      </rPr>
      <t xml:space="preserve"> Price Escalation</t>
    </r>
    <r>
      <rPr>
        <sz val="10"/>
        <color theme="1"/>
        <rFont val="Arial"/>
        <family val="2"/>
      </rPr>
      <t xml:space="preserve"> and ₹563.88 Cr is due to other than price escalation. The resaons for cost overrun are given as below: 
1. PH-1520 (Land): Land rates are as per Bihar Government guidelines, taking the lower of the MVR rate and the 3-year average sale rate, mouza-wise. Additional land of 4.78 acres is required due to change in alignment at certain locations and new cut-and-connections provided for elimination of reverse curves.
2. PH-1530 (Formation): The DE assumed a 5.3 m track centre throughout the section irrespective of the location of bridges, station yards, etc. As per the approved L-sections, the track centre varies from 5.3 m to 65.0 m at bridge approaches &amp; bridge locations, 5.3 m to 7.2 m in station yards and up to 12.2 m in block sections; therefore, earthwork in filling has increased from 26.70 lakh cum to 49.36 lakh cum. Quantities of blanketing, retaining and toe walls, dry stone pitching and drains have also increased accordingly.
3. PH-1541/1542 (Rails &amp; Sleepers): Track length has increased from 79.77 km to 97.48 km. Under IRPWM Paras 205(2) and 209(2a), new 60 kg R260 rails with 1,660 sleepers/km have been provided in passenger loop lines in place of second-hand 52 kg rails. Accordingly, rail quantity has increased by 2,143 MT and sleepers by 30,082 nos.
4. PH-1550 (Bridges): After approval of the GADs and detailed hydrological and geotechnical studies, the type, span and foundation of a number of bridges have been revised. These include steel-to-PSC conversions, double-line combined foundations (Br. No. 7, 8 &amp; 20 &amp; 21) and new minor bridges (6B, 11A, 11C), resulting in increased structural quantities.
5. PH-1560 (Buildings &amp; Station works): The DE had no provision for staff quarters (Type II/III: 62/14, approved by AGM/NFR), pump houses, tube wells, OHTs, cabins, auto huts, trolley garages and fencing. Platform area, PP shelters, approach roads and other passenger amenities have also increased as per the approved station plans.
6. Rate revision: The DE was based on USSOR-2010/LAR, whereas RE-1 is based on USSOR-2021/LAR and DSOR-2021/LAR. There is no change in the overall scope or objective of the sanctioned work.</t>
    </r>
  </si>
  <si>
    <t>11 Years 6 months</t>
  </si>
  <si>
    <t xml:space="preserve">This Project DE sanction year is Aug'2022. The 1st RE has  been vetted by associate finance and under process for submission to Railway Board. Sections Katihar-Sonaili (16.215 Km) and Katihar-Kuretha (11.06 km) (Total=27.275 Km) comissioned on date 19.06.2026. Balance sections work is in progress. </t>
  </si>
  <si>
    <t>As the Vatva – Ahmedabad – Sabarmati 4th line project  is coming in the alignment of High-Speed Corridor, WR/CON was asked to slow down the progress of this work vide NHSRCL Letter No NHSRCL/MA/CE01/DGN-TVAS-STN/26.1/636 Dtd 13.12.2017 and in meeting held on 25.01.2018 it was finally decided to forego the 4th line in this stretch. Accordingly, the Project is shelved by Railway Board.
Vide Railway Board letter No. 2018/INFRA/12/05 dtd. 20.02.2020, Ahmedabad yard remodelling work is to be executed against this project.
Ahmedabad yard remodelling involves coordination between NHSRCL, RLDA, Division as executing agencies and other utility shiftings.</t>
  </si>
  <si>
    <t>Eklakhi–Balurghat (86.76Km), MM of NL (Raiganj–Itahar=22.16 Km) (Gazole-Itahar=27.20 Km ) , (Itahar-Buniadpur=27.09 Km)</t>
  </si>
  <si>
    <t>Ludhiana-Mullanpur</t>
  </si>
  <si>
    <t>1984-85</t>
  </si>
  <si>
    <t>No TDC given for MM Projects</t>
  </si>
  <si>
    <t>The project has been kept in abeyance since 24.09.2019 by Railway Board vide DO L/No 2019/W-1/Genl./Budget/1 Dated 24.09.2019</t>
  </si>
  <si>
    <t>1. Itahar-Gazole- Rs.185 Cr
2. Itahar-Raiganj- Rs.129 Cr.
3. Itahar-Buniadpur- Not sanctioned.</t>
  </si>
  <si>
    <t>Fresh survey &amp; preparation of DE/RE under progress.</t>
  </si>
  <si>
    <t>Chipyana-Buzurg(CYZ)-Ghaziabad(GZB)</t>
  </si>
  <si>
    <t>Yet to be assessed as the cost of DE/RE are yet to be finalised.</t>
  </si>
  <si>
    <t>30.06.2025</t>
  </si>
  <si>
    <t>19 month</t>
  </si>
  <si>
    <t xml:space="preserve">To be commssioned with EI of GZB </t>
  </si>
  <si>
    <t>(a) The project has been kept in abeyance by Railway Board vide DO L/No 2019/W-1/Genl./Budget/1 Dated 24.09.2019. 
(b) The project has been de-freezed vide Railway Board L/No. 2025/W-I/NFR/Misc./15 (E-3495405) dated 19.01.2026.
(c) Tender for fresh survey and preparation of revised/detailed estimates was awarded on 16.06.2026. Survey work is in progress for the Gazole–Itahar, Itahar–Raiganj and Itahar–Buniadpur New BG Line Projects.</t>
  </si>
  <si>
    <t>Jiribam-Imphal</t>
  </si>
  <si>
    <t>2005-13</t>
  </si>
  <si>
    <t>Doubling between Jaunpur Jn.-Zafarabad (6.28 Km)</t>
  </si>
  <si>
    <t>No data</t>
  </si>
  <si>
    <t>Geological challenges, law and order issues, road blockades, have reasoned the aforementioned delay.</t>
  </si>
  <si>
    <t>Construction of 3" line between Varanasi Shivpur</t>
  </si>
  <si>
    <t>DE: Rs. 4,454.16 Cr</t>
  </si>
  <si>
    <t>3rd RE: Rs. 21,885.88 Cr</t>
  </si>
  <si>
    <t>Rs. 17,431.72 Cr</t>
  </si>
  <si>
    <t xml:space="preserve">1. Basis of the original estimate: The original sanctioned estimate for the Tupul–Imphal section was based on the per-RM cost of the Jiribam–Tupul section. The cost later changed in line with the rates for each item in the contract agreements.
2. Tunnelling: Weak geological strata were encountered, so the tunnelling methods were changed on the advice of the DDC. This caused a cost overrun.
3. Track structure: 52 kg rails were replaced with 60 kg rails, and more loop lines were added.
4. Ruling gradient: The ruling gradient was changed from 1 in 80 to 1 in 70. This changed the length of the tunnels and the number of other civil engineering structures.
5. Realignment at Tupul: Because of the landslide at Tupul, the alignment was changed and a tunnel was added.
6. Adit lining: The original estimate had no provision for adit lining. It was added in the RE.
7. Upgrading of bridges: Some minor bridges were converted to major bridges on the recommendation of the TAG.
8. Land acquisition: More land was acquired to meet site requirements.
9. Tunnel portal and protection works: Tunnel portal extensions and protection works were added in the RE.
</t>
  </si>
  <si>
    <t>Chord line connecting Muftiganj (MFJ) - Jaunpur (JNU)- MGWN bypassing Jaunpur (1.5 Km)</t>
  </si>
  <si>
    <t>Change in Scope of Work based on Actual Field requirement, Uncertainity in Geological Condition, Escalation in Land Acquisition value, Market Inflation increase in cost of raw material</t>
  </si>
  <si>
    <t>Dimapur-Kohima</t>
  </si>
  <si>
    <t>45 months</t>
  </si>
  <si>
    <t>Chord line connecting Didarganj (DJD) - Shahganj (SHG)- Bilwai (BWI) bypassing Shahganj</t>
  </si>
  <si>
    <t xml:space="preserve">The time overrun is mainly due to extremely poor geology: predominantly shale and shale-sandstone strata with geological faults. Heavy rainfall during an extended monsoon triggered landslides at Ch 39300–39650, Pherima yard, Piphema yard, Zubza yard and other locations, so slope protection measures have had to be designed and executed. Severe squeezing and water ingress have slowed underground excavation in Tunnels. Progress in Tunnel 7 (6520 m), the most critical tunnel in this phase, is slow because no adit is available and there is high water ingress at multiple locations. Work at its Portal 1 could start only in February 2024, after villagers’ land objections to the 12.5 km approach road were resolved in October 2023 through the Government of Nagaland. Frequent local hindrances to working, vehicle movement and night work also arise because, under Article 371(A), land and forest belong to individuals or communities.
</t>
  </si>
  <si>
    <t>Byepass line at Ayodhya</t>
  </si>
  <si>
    <t xml:space="preserve">DE: Rs. 2315.30 Cr. </t>
  </si>
  <si>
    <t xml:space="preserve">2nd RE: Rs. 15607.57 Cr. </t>
  </si>
  <si>
    <t>Rs 13292.27 Crs</t>
  </si>
  <si>
    <t>The cost over run is mainly due to:
1. Tunnels: Rock was much weaker than in the GIR, with faults and squeezing. This necessitated increased support (SDR anchors, pipe roofing, variable ribs), thicker reinforced lining and waterproofing.
2. New tunnel scope: Adits , cross passages and cut-and-cover tunnels had to be constructed for safety during construction and long term safety.
3. Slope protection: About 8 km on landslide-prone stretches required to be protected by elaborate slope protection measures.
4. Bridges: Five minor bridges converted to major bridge due to erodible strata, new Br. No. 172A, and an extra span on Br. No. 171 had to be provided as per site requirement.</t>
  </si>
  <si>
    <t>Chord line between Alal-Himmatana</t>
  </si>
  <si>
    <t>Change in Scope of Work based on Actual Field requirement, Uncertainity in Geological Condition</t>
  </si>
  <si>
    <t>Sivok-Rangpo</t>
  </si>
  <si>
    <t>151 months</t>
  </si>
  <si>
    <t>Details given in the remark column</t>
  </si>
  <si>
    <t>Pushkar-Merta (Katyasani)</t>
  </si>
  <si>
    <t xml:space="preserve">DE: Rs. 4084.69 Cr. </t>
  </si>
  <si>
    <t xml:space="preserve">1st RE: Rs. 17124.87 Cr. </t>
  </si>
  <si>
    <t>Rs 13040.18 Crs</t>
  </si>
  <si>
    <t>Taranga Hill-Abu Road via Ambaji</t>
  </si>
  <si>
    <t>Gudha-Thathana Mithri Test Track for RDSO</t>
  </si>
  <si>
    <t>Dedicated Test Track for RDSO (Phase-II)</t>
  </si>
  <si>
    <t>2021-22</t>
  </si>
  <si>
    <t>Reasons for Time Overrun of Sivok–Rangpo New BG Railway Line Project
Based on the contents of the last column of the attached document, the major reasons for time overrun are:
1. Delay in forest land diversion and statutory clearances: Additional forest land became necessary during execution due to mandatory ADITs for tunnel safety, expansion of Rangpo Yard, revised slope geometry at Riyang Yard, construction access roads and other ancillary facilities. Processing of additional proposals and statutory approvals delayed the availability of work fronts.
2. Unprecedented flash flood and closure of NH-10: The GLOF/flash flood of 04.10.2023 and subsequent road damage, landslides, road collapses and traffic restrictions disrupted construction activities. The assessed cumulative delay attributable to the flood and NH-10 restrictions during 2023–2025 was 311 days, affecting transportation of manpower, construction materials, explosives, fuel, machinery and muck.
3. Unforeseen adverse geological conditions in tunnels: Actual geological conditions differed substantially from tender-stage investigations, with a significant increase in weaker rock classes, fractured and weathered rock, squeezing ground, groundwater ingress and deformation. These conditions necessitated heavier support systems, additional rock bolting, steel ribs, shotcrete, fore-poling, re-support, re-excavation and stabilization, reducing tunnel excavation progress.
4. Increase in scope of work at Rangpo Yard: Railway-approved expansion from three to four lines necessitated additional track infrastructure, formation widening, retaining structures, slope protection, drainage, platforms, goods yard facilities, pit line, signalling, electrical works and additional land. The revised scope also required redesign, fresh approvals and additional forest land diversion.
5. Additional land requirement and site constraints at Riyang, Melli and Rangpo Yards: Unfavourable geotechnical conditions at Riyang necessitated flatter slopes and additional forest land. At Melli, additional land was required for staff quarters, muck dumping and Bridge No. 09 access road. At Rangpo, poor ground strata and deeper RE wall foundations required land beyond the available railway Right of Way.
6. Delay in yard works and associated infrastructure: Progress of slope protection at Riyang was affected by pending forest land diversion. Melli Yard works were affected by RE wall construction requirements and NH-10 restoration issues following the flood. At Rangpo, a portion of the RE wall fell outside the existing Right of Way, necessitating additional land acquisition and handover.
7. Extended duration of critical tunnel, bridge and yard works: Adverse geology, additional support requirements, land constraints, statutory approvals and revised scope have affected completion of Tunnel T-10, yard infrastructure, slope protection, track linking and bridge works, resulting in revised completion schedules extending into 2027.
Conclusion: The time overrun is attributable to a combination of unforeseen geological conditions, extraordinary natural events and NH-10 disruptions, additional land and statutory clearance requirements, Railway-approved changes in scope, and consequent delays in critical tunnel, bridge and yard works. These factors have adversely affected construction progress and the overall project completion schedule.</t>
  </si>
  <si>
    <t>Jalalgarh-Kishanganj</t>
  </si>
  <si>
    <t>New BG line between Merta City-Ras (51.40 Km) &amp; Byepass at Merta road station (4.50 Km)</t>
  </si>
  <si>
    <t xml:space="preserve">
</t>
  </si>
  <si>
    <t>Sawaimadhopur-Jaipur</t>
  </si>
  <si>
    <t>DE of ₹359.86 Cr. was submitted to Rly Bd. on 22.01.2009, however, only Part Estimate of 13.68 Crore for 1st 7.5 Km of the project was sanctioned on 25.02.2009. As advised by Railway Board vide letter dtd 13.06.2024 to submit fresh DPR and subsequent meetings on 01.07.2025 &amp; 28.07.2026, revised DPR at a total cost of ₹ 1754.29 Cr. submitted to Railway Board on 05.10.2026</t>
  </si>
  <si>
    <t>1754.29 Cr (As per latest DPR submitted to Railway Board 05.10.2026)</t>
  </si>
  <si>
    <t>DPR is yet to be sanctioned</t>
  </si>
  <si>
    <t>Doubling between Churu-Sadulpur BG Line Doubling between Luni-Samdari-Bhildi section</t>
  </si>
  <si>
    <t>Feb 29</t>
  </si>
  <si>
    <r>
      <rPr>
        <sz val="10"/>
        <color theme="1"/>
        <rFont val="Arial"/>
        <family val="2"/>
      </rPr>
      <t xml:space="preserve">1. The project was sanctioned vide Pink Book item No. 10 b of 2008-09, at a total cost of ₹282.92 crore. 
2. Project was kept in abeyance vide Railway Board L.No.2019/W-1/Genl./Budget/1 Dt. 24.09.2019.
3. De-freezing of project has been done vide Rly. Board order no. 2024/W-1/NFR/NL/Jalalgarh-Kishanganj/14 (E-3457936) dated 13.06.2024. It was also advised to submit fresh DPR.
</t>
    </r>
    <r>
      <rPr>
        <b/>
        <sz val="10"/>
        <color theme="1"/>
        <rFont val="Arial"/>
        <family val="2"/>
      </rPr>
      <t>The major reasons for the cost overrun are detailed below:</t>
    </r>
    <r>
      <rPr>
        <sz val="10"/>
        <color theme="1"/>
        <rFont val="Arial"/>
        <family val="2"/>
      </rPr>
      <t xml:space="preserve">
</t>
    </r>
    <r>
      <rPr>
        <b/>
        <sz val="10"/>
        <color theme="1"/>
        <rFont val="Arial"/>
        <family val="2"/>
      </rPr>
      <t>1. Price Escalation:</t>
    </r>
    <r>
      <rPr>
        <sz val="10"/>
        <color theme="1"/>
        <rFont val="Arial"/>
        <family val="2"/>
      </rPr>
      <t xml:space="preserve"> Increase in the cost of materials, labour, machinery and other construction inputs since the original sanction in 2010.
</t>
    </r>
    <r>
      <rPr>
        <b/>
        <sz val="10"/>
        <color theme="1"/>
        <rFont val="Arial"/>
        <family val="2"/>
      </rPr>
      <t>2. Land Acquisition:</t>
    </r>
    <r>
      <rPr>
        <sz val="10"/>
        <color theme="1"/>
        <rFont val="Arial"/>
        <family val="2"/>
      </rPr>
      <t xml:space="preserve"> Increase in formation width from 6.85 m to 7.85 m, additional land requirements due to revised formation levels, and increase in land acquisition rates.
</t>
    </r>
    <r>
      <rPr>
        <b/>
        <sz val="10"/>
        <color theme="1"/>
        <rFont val="Arial"/>
        <family val="2"/>
      </rPr>
      <t>3. Formation and Earthwork:</t>
    </r>
    <r>
      <rPr>
        <sz val="10"/>
        <color theme="1"/>
        <rFont val="Arial"/>
        <family val="2"/>
      </rPr>
      <t xml:space="preserve"> Substantial increase in earthwork quantities due to revised formation width, higher formation levels considering the High Flood Level (HFL) in flood-prone areas, additional sand filling in marshy </t>
    </r>
    <r>
      <rPr>
        <b/>
        <sz val="10"/>
        <color theme="1"/>
        <rFont val="Arial"/>
        <family val="2"/>
      </rPr>
      <t xml:space="preserve">stretches, and provision of drainage and protection works.
4. Permanent Way: </t>
    </r>
    <r>
      <rPr>
        <sz val="10"/>
        <color theme="1"/>
        <rFont val="Arial"/>
        <family val="2"/>
      </rPr>
      <t xml:space="preserve">Additional provisions for 60 kg rails, wider sleepers, increased loop and siding lengths, 51 nos. Road Under Bridges (RUBs) in lieu of level crossings, increased ballast cushion, additional points and crossings, and other track-related requirements as per revised Railway Board guidelines.
</t>
    </r>
    <r>
      <rPr>
        <b/>
        <sz val="10"/>
        <color theme="1"/>
        <rFont val="Arial"/>
        <family val="2"/>
      </rPr>
      <t>5. Bridges:</t>
    </r>
    <r>
      <rPr>
        <sz val="10"/>
        <color theme="1"/>
        <rFont val="Arial"/>
        <family val="2"/>
      </rPr>
      <t xml:space="preserve"> Increase in bridge dimensions due to revised formation width, modification of minor and major bridge spans based on site requirements, provision of  Road Over Bridge (ROB) in lieu of 02 no.Level Crossings, and adoption of revised bridge design provisions.
</t>
    </r>
    <r>
      <rPr>
        <b/>
        <sz val="10"/>
        <color theme="1"/>
        <rFont val="Arial"/>
        <family val="2"/>
      </rPr>
      <t>6. Station Buildings and Passenger Amenities:</t>
    </r>
    <r>
      <rPr>
        <sz val="10"/>
        <color theme="1"/>
        <rFont val="Arial"/>
        <family val="2"/>
      </rPr>
      <t xml:space="preserve"> Additional provisions for high-level platforms, station buildings, passenger shelters, subways, circulating areas, approach roads, goods facilities and other infrastructure as per approved Engineering Scale Plans (ESPs).
</t>
    </r>
    <r>
      <rPr>
        <b/>
        <sz val="10"/>
        <color theme="1"/>
        <rFont val="Arial"/>
        <family val="2"/>
      </rPr>
      <t>7. Signalling and Telecommunication:</t>
    </r>
    <r>
      <rPr>
        <sz val="10"/>
        <color theme="1"/>
        <rFont val="Arial"/>
        <family val="2"/>
      </rPr>
      <t xml:space="preserve"> Provision of Multi Aspect Colour Light Signalling (MACLS), Electronic Interlocking (EI), UFSBI, HASSDAC, MSDAC, fire alarm systems, IP-MPLS, VOIP and other modern signalling and telecommunication facilities as per revised Railway Board guidelines.
</t>
    </r>
    <r>
      <rPr>
        <b/>
        <sz val="10"/>
        <color theme="1"/>
        <rFont val="Arial"/>
        <family val="2"/>
      </rPr>
      <t>8. Electrical Works and Railway Electrification:</t>
    </r>
    <r>
      <rPr>
        <sz val="10"/>
        <color theme="1"/>
        <rFont val="Arial"/>
        <family val="2"/>
      </rPr>
      <t xml:space="preserve"> Additional provisions for 33 kV underground cable crossings, electrical installations, equipment and railway electrification, which were not adequately covered in the original estimate.</t>
    </r>
  </si>
  <si>
    <t>Doubling between Ajmer-Chanderiya section</t>
  </si>
  <si>
    <t>Change in Scope of Work based on Actual Field requirement, Market Inflation increase in cost of raw material, Escalation in Land Acquisition value, Administrative reason</t>
  </si>
  <si>
    <t>Byepass line at Sawaimadhopur</t>
  </si>
  <si>
    <t>1.  Detail Estimate of ₹ 359.86 Cr. was submitted to Rly. Bd. vide letter no. W/98/CON/Kishanganj-Jalalgarh dated 22.01.2009.
2. Only part estimate of ₹13.68 crore for 1st 7.5 km was sanctioned vide Railway Board letter No. 2005/WI/NF/NL/17 dated 25.02.2009. 
3. The project was kept in abeyance vide Railway Board letter No. 2019/W-1/Genl./Budget/1 dated 24.09.2019.
4.  It was de-frozen vide Railway Board letter No. 2024/W-1/NFR/NL/Jalalgarh-Kishanganj/14 (E-3457936) dated 13.06.2024. It was also instructed to submit fresh DPR of the project.
5. A fresh DPR at a total cos of ₹ 1852.32 Cr. was submitted to Railway Board on 17.06.2025.
6.  After PEC meeting on 01.07.2025, revised DPR at a cost of ₹ 1794.69 Cr. was submitted to Railway Board on 
7. The estimate was again reviewed at Railway Board on 13.07.2026, and the revised DPR at the estimated cost of ₹1754.29 Cr. has been submitted vide letter no. W/362/Con/S-2/FLS/KNE-JAG dtd 05.10.2026. with completion period of 3 years</t>
  </si>
  <si>
    <t>Balurghat-Hilli</t>
  </si>
  <si>
    <t>Rewari-Khatuwas Doubling</t>
  </si>
  <si>
    <t>05 months</t>
  </si>
  <si>
    <t>Work was stooped since 2013 due to paucity of fund and then it was freezed on 24.09.2019 by Railway Board vide  D.O. Letter No. 2019/W-1/Genl./Budget/1 dated 24.09.2019.</t>
  </si>
  <si>
    <t>Bhiwani-Dobh-Bahali Doubling (42.30 Km)</t>
  </si>
  <si>
    <t>Sept 27</t>
  </si>
  <si>
    <t>Doubling between Manheru-Bawani Khera</t>
  </si>
  <si>
    <r>
      <rPr>
        <sz val="10"/>
        <color theme="1"/>
        <rFont val="Arial"/>
        <family val="2"/>
      </rPr>
      <t xml:space="preserve">1. The project was sanctioned vide Rly Board's letter no. 2007/W1/NL/NF/Balurghat – Hili  dtd.29.12.2010, at a total sanctioned Detailed Estimate cost of ₹242.22 crore. 
2. Project was kept in abeyance vide Railway Board L.No.2019/W-1/Genl./Budget/1 Dt. 24.09.2019.
3. De-freezing of project has been done vide Rly. Board order no. 2022/W-1/NFR/NL/Hili– Balurghat  dt. 08.03.2022.
</t>
    </r>
    <r>
      <rPr>
        <b/>
        <sz val="10"/>
        <color theme="1"/>
        <rFont val="Arial"/>
        <family val="2"/>
      </rPr>
      <t>The major reasons for the cost overrun are detailed below:</t>
    </r>
    <r>
      <rPr>
        <sz val="10"/>
        <color theme="1"/>
        <rFont val="Arial"/>
        <family val="2"/>
      </rPr>
      <t xml:space="preserve">
</t>
    </r>
    <r>
      <rPr>
        <b/>
        <sz val="10"/>
        <color theme="1"/>
        <rFont val="Arial"/>
        <family val="2"/>
      </rPr>
      <t>1. Price Escalation:</t>
    </r>
    <r>
      <rPr>
        <sz val="10"/>
        <color theme="1"/>
        <rFont val="Arial"/>
        <family val="2"/>
      </rPr>
      <t xml:space="preserve"> Increase in the cost of materials, labour, machinery and other construction inputs since the original sanction in 2010.
</t>
    </r>
    <r>
      <rPr>
        <b/>
        <sz val="10"/>
        <color theme="1"/>
        <rFont val="Arial"/>
        <family val="2"/>
      </rPr>
      <t>2. Land Acquisition:</t>
    </r>
    <r>
      <rPr>
        <sz val="10"/>
        <color theme="1"/>
        <rFont val="Arial"/>
        <family val="2"/>
      </rPr>
      <t xml:space="preserve"> Increase in formation width from 6.85 m to 7.85 m, additional land requirements due to revised formation levels, and increase in land acquisition rates.
</t>
    </r>
    <r>
      <rPr>
        <b/>
        <sz val="10"/>
        <color theme="1"/>
        <rFont val="Arial"/>
        <family val="2"/>
      </rPr>
      <t>3. Formation and Earthwork:</t>
    </r>
    <r>
      <rPr>
        <sz val="10"/>
        <color theme="1"/>
        <rFont val="Arial"/>
        <family val="2"/>
      </rPr>
      <t xml:space="preserve"> Substantial increase in earthwork quantities due to revised formation width, higher formation levels considering the High Flood Level (HFL) in flood-prone areas, additional sand filling in marshy </t>
    </r>
    <r>
      <rPr>
        <b/>
        <sz val="10"/>
        <color theme="1"/>
        <rFont val="Arial"/>
        <family val="2"/>
      </rPr>
      <t xml:space="preserve">stretches, and provision of drainage and protection works.
4. Permanent Way: </t>
    </r>
    <r>
      <rPr>
        <sz val="10"/>
        <color theme="1"/>
        <rFont val="Arial"/>
        <family val="2"/>
      </rPr>
      <t xml:space="preserve">Additional provisions for 60 kg rails, wider sleepers, increased loop and siding lengths, 22 Road Under Bridges (RUBs) in lieu of level crossings, increased ballast cushion, additional points and crossings, and other track-related requirements as per revised Railway Board guidelines.
</t>
    </r>
    <r>
      <rPr>
        <b/>
        <sz val="10"/>
        <color theme="1"/>
        <rFont val="Arial"/>
        <family val="2"/>
      </rPr>
      <t>5. Bridges:</t>
    </r>
    <r>
      <rPr>
        <sz val="10"/>
        <color theme="1"/>
        <rFont val="Arial"/>
        <family val="2"/>
      </rPr>
      <t xml:space="preserve"> Increase in bridge dimensions due to revised formation width, modification of minor and major bridge spans based on site requirements, provision of a Road Over Bridge (ROB) in lieu of Level Crossing No. 1, and adoption of revised bridge design provisions.
</t>
    </r>
    <r>
      <rPr>
        <b/>
        <sz val="10"/>
        <color theme="1"/>
        <rFont val="Arial"/>
        <family val="2"/>
      </rPr>
      <t>6. Station Buildings and Passenger Amenities:</t>
    </r>
    <r>
      <rPr>
        <sz val="10"/>
        <color theme="1"/>
        <rFont val="Arial"/>
        <family val="2"/>
      </rPr>
      <t xml:space="preserve"> Additional provisions for high-level platforms, station buildings, passenger shelters, subways, circulating areas, approach roads, goods facilities and other infrastructure as per approved Engineering Scale Plans (ESPs).
</t>
    </r>
    <r>
      <rPr>
        <b/>
        <sz val="10"/>
        <color theme="1"/>
        <rFont val="Arial"/>
        <family val="2"/>
      </rPr>
      <t>7. Signalling and Telecommunication:</t>
    </r>
    <r>
      <rPr>
        <sz val="10"/>
        <color theme="1"/>
        <rFont val="Arial"/>
        <family val="2"/>
      </rPr>
      <t xml:space="preserve"> Provision of Multi Aspect Colour Light Signalling (MACLS), Electronic Interlocking (EI), UFSBI, HASSDAC, MSDAC, fire alarm systems, IP-MPLS, VOIP and other modern signalling and telecommunication facilities as per revised Railway Board guidelines.
</t>
    </r>
    <r>
      <rPr>
        <b/>
        <sz val="10"/>
        <color theme="1"/>
        <rFont val="Arial"/>
        <family val="2"/>
      </rPr>
      <t>8. Electrical Works and Railway Electrification:</t>
    </r>
    <r>
      <rPr>
        <sz val="10"/>
        <color theme="1"/>
        <rFont val="Arial"/>
        <family val="2"/>
      </rPr>
      <t xml:space="preserve"> Additional provisions for 33 kV underground cable crossings, electrical installations, equipment and railway electrification, which were not adequately covered in the original estimate..</t>
    </r>
  </si>
  <si>
    <t>Doubling of Guntur- Bibinagar</t>
  </si>
  <si>
    <t xml:space="preserve">1.BLGT- HILLI New BG line was sanctioned vide Rly Board's letter no. 2007/W1/NL/NF/Balurghat – Hili  dtd.29.12.2010.
2.Project was kept in abeyance vide Railway Board L.No.2019/W-1/Genl./Budget/1 Dt. 24.09.2019.
3.De-freezing of project has been done vide Rly. Board order no. 2022/W-1/NFR/NL/Hili– Balurghat  dt. 08.03.2022.
4.Total LA processed for 156.38 Ha land and total ₹ 334.91 Cr paid to Distt. Authority. Total 156.38Ha (100%) land has been handed over to Railway.
Planning for commissioning :-
(a) Balurghat - Kamarpara (13.787km) – EPC tender for Civil, Electrical (Gen and TRD) and S&amp;T works combined has been awarded on 04.03.25. Work is in progress. TDC for commissioning: May, 27.
(b) Kamarpara –Hili (15.187km) – EPC tender of Civil, S&amp;T and Electrification works was awarded on 15.10.25. Work is in progress. TDC- Aug, 27.
</t>
  </si>
  <si>
    <t>Jogbani-Biratnagar(Nepal)</t>
  </si>
  <si>
    <t>Doubling between Mudkhed - Medchal &amp; Mahbubnagar - Dhone section as a Part of Doubling of Akola- Dhone via Purna, Mudhkhed, Secunderabad, Mehboobnagar excluding Purna-Mudkhed and Bolarum-Mehboobnagar including Dhone bye pass</t>
  </si>
  <si>
    <t>28.01.2013</t>
  </si>
  <si>
    <t>13 years</t>
  </si>
  <si>
    <t>Due to non-availability of Land of Biratnagar Yard (Nepal) and Fund from Ministry of External Affairs</t>
  </si>
  <si>
    <t>Multi Tracking &amp; connectivity at Guntur Yard for 8.20 Km</t>
  </si>
  <si>
    <t>238.83 Cr.</t>
  </si>
  <si>
    <t>467.69 Cr.</t>
  </si>
  <si>
    <t>228.86 Cr.</t>
  </si>
  <si>
    <t>Slope protection: About 6 km on landslide-prone stretches.</t>
  </si>
  <si>
    <t>Bye pass line at Latur Road Station</t>
  </si>
  <si>
    <t>Revised Project Estimate has been  approved by Railway Board and forwaded to MEA for fruther sanction and release of fund.</t>
  </si>
  <si>
    <t>Kaliyaganj-Buniadpur</t>
  </si>
  <si>
    <t>Byepass line at Parli-Vaijanath Station (1.90 Km)</t>
  </si>
  <si>
    <t>Doubling between Gooty-Pendekallu (29.225 Km)</t>
  </si>
  <si>
    <t>Byepass Line at Vikarabad Station for connecting Vikarabad-Parli Vaijanath &amp; Secunderabad -Wadi section</t>
  </si>
  <si>
    <r>
      <rPr>
        <sz val="10"/>
        <color theme="1"/>
        <rFont val="Arial"/>
        <family val="2"/>
      </rPr>
      <t xml:space="preserve">1. The project was sanctioned by Railway Board vide Letter No. 2009/W1/NL/NF/Kaliaganj-Buniadpur dated 29.12.2010, at a total sanctioned Detailed Estimate cost of ₹222.22 crore.  
2. Project was kept in abeyance by Railway Board vide Letter No. 2019/W-1/Genl./Budget/1 dated 24.09.2019. 
3. Project was thereafter de-freezed by Railway Board vide Order No. 2024/W1/NFR/NL/Kaliaganj-Buniadpur/11(E-3456638) dated 29.02.2024
</t>
    </r>
    <r>
      <rPr>
        <b/>
        <sz val="10"/>
        <color theme="1"/>
        <rFont val="Arial"/>
        <family val="2"/>
      </rPr>
      <t>Reason for Cost overrun is as follows:</t>
    </r>
    <r>
      <rPr>
        <sz val="10"/>
        <color theme="1"/>
        <rFont val="Arial"/>
        <family val="2"/>
      </rPr>
      <t xml:space="preserve">
</t>
    </r>
    <r>
      <rPr>
        <b/>
        <sz val="10"/>
        <color theme="1"/>
        <rFont val="Arial"/>
        <family val="2"/>
      </rPr>
      <t>1) Land Acquisition:</t>
    </r>
    <r>
      <rPr>
        <sz val="10"/>
        <color theme="1"/>
        <rFont val="Arial"/>
        <family val="2"/>
      </rPr>
      <t xml:space="preserve"> Land cost increased from ₹45.57 Cr to ₹342.40 Cr due to increased land requirements arising from elimination of level crossings through RUBs/ROB and enhancement of formation width from 6.85 m to 7.85 m. Consequently, land requirement increased from 378.40 acres to 407.083 acres. Revision of land rates also contributed to the increase
</t>
    </r>
    <r>
      <rPr>
        <b/>
        <sz val="10"/>
        <color theme="1"/>
        <rFont val="Arial"/>
        <family val="2"/>
      </rPr>
      <t>2) Formation Works:</t>
    </r>
    <r>
      <rPr>
        <sz val="10"/>
        <color theme="1"/>
        <rFont val="Arial"/>
        <family val="2"/>
      </rPr>
      <t xml:space="preserve"> The quantity of earthwork in filling increased from 14.74 lakh cum to 45.59 lakh cum, resulting in a variation of ₹84.11 Cr. This was mainly due to enhancement of formation width from 6.85 m to 7.85 m as per prevailing guidelines and increased embankment height necessitated by the provision of RUBs in place of level crossings.
</t>
    </r>
    <r>
      <rPr>
        <b/>
        <sz val="10"/>
        <color theme="1"/>
        <rFont val="Arial"/>
        <family val="2"/>
      </rPr>
      <t>3) Permanent Way:</t>
    </r>
    <r>
      <rPr>
        <sz val="10"/>
        <color theme="1"/>
        <rFont val="Arial"/>
        <family val="2"/>
      </rPr>
      <t xml:space="preserve"> Cost increased from ₹58.40 Cr to ₹118.54 Cr due to provision of 60 kg new rails in place of 52 kg rails, increase in ballast cushion from 300 mm to 350 mm on the main line and from 250 mm to 300 mm on loop lines, increase in points and crossings from 11 to 12 Nos., increase in loop lines from 11 to 12 Nos., and provision of one additional siding at Kushmandi station.
</t>
    </r>
    <r>
      <rPr>
        <b/>
        <sz val="10"/>
        <color theme="1"/>
        <rFont val="Arial"/>
        <family val="2"/>
      </rPr>
      <t xml:space="preserve">4) Bridge Works: </t>
    </r>
    <r>
      <rPr>
        <sz val="10"/>
        <color theme="1"/>
        <rFont val="Arial"/>
        <family val="2"/>
      </rPr>
      <t xml:space="preserve">Cost increased from ₹18.52 Cr to ₹180.41 Cr due to updated rates based on USSOR 2021, CPWD DSR 2021 and relevant LARs, provision of 6 Major Bridges including 1 ROB and 1 RUB, 24 Minor Bridges and 24 additional RUBs. Six level crossings were replaced by RUBs, one additional level crossing was replaced by an RUB, three previously omitted level crossings were provided with RUBs, and two additional RUBs were proposed as per approved L-section and field requirements. Further, RCC Box Bridges having spans exceeding 3 m were replaced by PSC Slab Bridges as per latest guidelines.
</t>
    </r>
    <r>
      <rPr>
        <b/>
        <sz val="10"/>
        <color theme="1"/>
        <rFont val="Arial"/>
        <family val="2"/>
      </rPr>
      <t>5) Station and Building Works:</t>
    </r>
    <r>
      <rPr>
        <sz val="10"/>
        <color theme="1"/>
        <rFont val="Arial"/>
        <family val="2"/>
      </rPr>
      <t xml:space="preserve"> Increase in cost was due to adoption of updated USSOR/DSR rates, conversion of medium-level platform into high-level platform at Kushmandi, provision of 8 water booths against 3 tube wells/water booths in the Detailed Estimate, adoption of pile foundations instead of open/shallow foundations based on soil strata, and provision of one camp office for project execution and monitoring.
</t>
    </r>
    <r>
      <rPr>
        <b/>
        <sz val="10"/>
        <color theme="1"/>
        <rFont val="Arial"/>
        <family val="2"/>
      </rPr>
      <t>6) Electrical General Works:</t>
    </r>
    <r>
      <rPr>
        <sz val="10"/>
        <color theme="1"/>
        <rFont val="Arial"/>
        <family val="2"/>
      </rPr>
      <t xml:space="preserve"> Cost increased from ₹7.51 Cr to ₹19.63 Cr due to conversion of LT/11 kV/33 kV overhead electrical lines into underground cables, increase in cable quantities, additional electrical provisions and revision of rates.
</t>
    </r>
    <r>
      <rPr>
        <b/>
        <sz val="10"/>
        <color theme="1"/>
        <rFont val="Arial"/>
        <family val="2"/>
      </rPr>
      <t>7) Railway Electrification:</t>
    </r>
    <r>
      <rPr>
        <sz val="10"/>
        <color theme="1"/>
        <rFont val="Arial"/>
        <family val="2"/>
      </rPr>
      <t xml:space="preserve"> Provision of ₹26.14 Cr was included for Railway Electrification to meet the requirement of 100% electrification of the railway network..
</t>
    </r>
    <r>
      <rPr>
        <b/>
        <sz val="10"/>
        <color theme="1"/>
        <rFont val="Arial"/>
        <family val="2"/>
      </rPr>
      <t>8) Signalling and Telecommunication Works:</t>
    </r>
    <r>
      <rPr>
        <sz val="10"/>
        <color theme="1"/>
        <rFont val="Arial"/>
        <family val="2"/>
      </rPr>
      <t xml:space="preserve"> Cost increased from ₹21.86 Cr to ₹36.45 Cr due to provision of MACLS with centralized Electronic Interlocking at Kaliyaganj, Kushmandi and Buniadpur stations, UFSBI with BPAC using HASSDAC, track circuiting with MSDAC and DC track circuits, updated earthing and bonding arrangements, signalling and power cables, IPS, DG sets, fire alarm systems, and laying, jointing and splicing of 6-quad and OFC cables.</t>
    </r>
  </si>
  <si>
    <t>Change in Scope of Work based on Actual Field requirement, Market Inflation increase in cost of raw material, Escalation in Land Acquisition value, Administrative reason, Uncertainity in Geological Condition</t>
  </si>
  <si>
    <t>Doubling between Aurangabad - Ankai</t>
  </si>
  <si>
    <t>Bye pass line at Vishnupuram</t>
  </si>
  <si>
    <t xml:space="preserve">1. KAJ-BNDP  New BG line was sanctioned vide Rly Board's letter no.  2009/W1/NL/NF/Kaliaganj-Buniadpur dtd.29.12.2010.
2. Project was kept in abeyance vide Railway Board L.No.2019/W-1/Genl./Budget/1 Dt. 24.09.2019.
3. De-freezing of project has been done vide Rly. Board order no. 2024/W1/NFR/NL/Kaliaganj - Buniadpur/ 11(E- 3456638) dt. 29.02.2024.
4. 1st Revised estimate sanctioned by Rly Bd on 27.02.2025 at cost ₹ 997.09 cr.
5. Revised LA Proposal for 113.47 acre of land under Uttar Dinajpur was submitted to DM/Uttar Dinajpur on dt. 27.12.2024. Gazette notifications u/s 20A already published in local Newspaper on Dt. 18/08/2025 &amp; 19/08/2025 and Notification u/s 20E has been published in Gazette of India on dated 09.07.2026 for entire 113.47 Acre land and published in local newspaper on dated 01.08.2026. 
During District Coordination meeting on 25.09.2026 at Raiganj, it was informed by DM/ Uttar Dinajpur that final estimate would be given to railway by 06.10.2026. TDC for estimate has been further extended to 31.10.2026. 
6. Revised LA Proposal for entire 301.04 acre of land (31 mouza)  under Dakshin Dinajpur Distt.  was submitted on 30.01.2025.
(i) Notification u/s 20E for 108.0575 Acre (10 mouza) under District Dakshin Dinajpur has been published in the Gazette of India on Dt. 30.07.2026. Estimate is awaited.
(ii) Notification u/s 20A for 85.6077 Acres of land (9 mauza) has been published in the Gazette of India on dated 30.07.2026 &amp; in local Newspaper on 17/08/2026. TDC for Draft notification U/s 20E has been given by DM/ Dakshin Dinajpur as 31.10.2026.
(iii) Draft Notification of 20A for balance 107.37 acre  of land (12 mouza) is still awaited from DM/ Dakshin Dinajpur. TDC for Draft notification U/s 20A has been given by DM/ Dakshin Dinajpur as 30.11.2026.
</t>
  </si>
  <si>
    <t>Murkongselek-Pasighat</t>
  </si>
  <si>
    <t>Nov-2025</t>
  </si>
  <si>
    <t>Rail Over Rail (ROR) double line between Guntakal West - Mallappa Gate</t>
  </si>
  <si>
    <t xml:space="preserve">1. Delay in land acquisition. EPC tender could be invited in the year 2022 only after completion of 90% land acquisition. LOA for composite EPC tender issued on 06.03.2023. 
2. Climatic and local conditions: heavy and prolonged rainfall during the long monsoon season of the North-East region, which shortens the available working season; floods affecting bridge sites, borrow areas and access roads; and frequent hindrances and stoppage of work due to local disturbances and local bandhs.
3. For the approaches of Road Over Bridge No. 68 at Pasighat,  land free from encumbrace handed over by the State Government on 12.06.2026.
</t>
  </si>
  <si>
    <t>Doubling between Bhadrachalam Road - Dornakal section</t>
  </si>
  <si>
    <t>Byepass line at Mudkhed junction (2.527 Km)</t>
  </si>
  <si>
    <t>Byepass line at Purna (3.22 Km) for connecting Purna- Akola &amp; Purna-Secunderabad Main Lines</t>
  </si>
  <si>
    <t>Byepass line at Ankai (2.21 Km)</t>
  </si>
  <si>
    <t>Cost increased from ₹414.85 crore (Detailed Estimate, 2016) to ₹1249.35 crore (1st Revised Estimate, April 2025), i.e. by ₹834.50 crore (201.15%): ₹540.70 crore (130.33%) due to price escalation and ₹293.80 crore (70.82%) due to reasons other than price escalation.
A. Price escalation – ₹540.70 crore
1. Land – ₹298.35 crore: land cost revised from ₹31.48 crore to ₹317.07 crore at current land rates of Deputy Commissioner, Dhemaji (Assam) and Government of Arunachal Pradesh, with compensation under the Right to Fair Compensation and Transparency in Land Acquisition, Rehabilitation and Resettlement Act, 2013 (100% solatium and additional amount at 12% per annum).
2. Formation, Permanent Way, Bridges, Stations and Buildings – ₹218.23 crore: unit rates updated from 2016 rates to latest accepted rates.
3. Departmental charges, Electrical (General), Signal and Telecommunication and Mechanical – ₹24.12 crore.
B. Other than price escalation – ₹293.80 crore
1. Road crossings and Permanent Way – ₹118.35 crore: new Road Over Bridge No. 68 for the road connecting National Highway 515 with Pasighat township; Road Over Bridges No. 1 and 11 changed from prestressed concrete girders to composite girders with longer length; Road Under Bridges/Limited Height Subways increased from 6 to 13; underpass at Sille station (₹91.54 crore). Loop line length increased from 4.8 km to 12.22 km and points and crossings from 14 to 33 as per approved yard plans; ballast cushion increased from 300 mm to 350 mm (₹25.64 crore).
2. Bridges – ₹81.55 crore: hydrological survey after sanction of Detailed Estimate required larger waterways – major bridges from 682.98 m to 1048.45 m (30.48 m spans changed to 45.70 m steel girders); minor bridges from 35 to 60, including 20 boxes for irrigation channels demanded by public representatives.
3. Formation – ₹44.25 crore: formation width increased from 6.85 m to 7.85 m (Advance Correction Slip No. 26 dated 10.01.2019 to Indian Railways Schedule of Dimensions); ground improvement (2.34 lakh cum) added as per latest Railway Board guidelines; catch water drains and breast walls in cutting increased from 3250 m to 6000 m.
4. Railway Electrification – ₹22.08 crore: new provision (31 km) as per Railway Board's instructions for 100% electrification.
5. Electrical (General) – ₹14.56 crore: high mast towers, solar lighting, shifting of 33 kV, 11 kV and low tension lines and underground cable crossings.
6. Stations and Buildings – ₹8.16 crore: high level platform area increased from 8226 sqm to 25200 sqm (platforms 630 m × 10 m at Sille and Pasighat), additional quarters, and Pasighat developed as a major station with rest houses, Railway Institute and health unit.
7. Signal and Telecommunication – ₹4.18 crore: additional lines at Pasighat and items left out in Detailed Estimate.
8. Departmental charges and hiring of vehicles – ₹14.97 crore; partly offset by reduction in land area (–₹12.76 crore) and Mechanical (–₹1.54 crore).</t>
  </si>
  <si>
    <t>Doubling between Parbhani- Parli Vaijanath stations (64.71 Km)</t>
  </si>
  <si>
    <t>1. Project sanctioned in 2010-11; Detailed Estimate sanctioned in 2016 for ₹414.85 crore.
2. Work awarded on Engineering, Procurement and Construction mode to M/s Tracks &amp; Towers Infratech Pvt. Ltd.; Agreement dated 08.05.2023 for ₹580.04 crore (₹685.01 crore after Change of Scope); Scheduled Completion Date 21.11.2025, presently extended to 31.12.2026.
3. Phase-I, Murkongselek–Sille (14.82 km): commissioned on 17.02.2026 after inspection by Commissioner of Railway Safety on 12-13.02.2026.
4. Phase-II, Sille–Pasighat (11.46 km): bridges, track linking, station buildings and Road Over Bridge No. 68 in progress.TDC of completion -January 2027
5. 1st Revised Estimate for ₹1249.35 crore (April 2025); Financial Internal Rate of Return 0.36%, Economic Internal Rate of Return 13.18%.</t>
  </si>
  <si>
    <t>New Jalpaiguri– Siliguri– New Bongaigaon including Branch line(419.17Km) and MM of (Chalsa-Naxal) (19.85Km) New line and Rajabhatkhawa – Jayanti New line (15.13Km)</t>
  </si>
  <si>
    <t>Rail Over Rail (ROR) at Pagidipalli connecting Bibi Nagar and Bommaipalli stations</t>
  </si>
  <si>
    <t xml:space="preserve">New Jalpaiguri– Siliguri– New Bongaigaon Project Commisioned in 2010.
Projects (a. Chalsa-Naxal &amp; b. Rajabhatkhawa-Jayanti) sanctioned (as Material Modification to NJP-NBQ GC Project) by RB on 28.04.2011, freezed by RB in 2019 and defreezed on 19.01.2026. a. Chalsa-Naxal : The NOC has been obtained from Tea garden, NOC applied from Forest deaprtment for Survey permission, tender for Topographical Survey opened on 20.07.2026, discharged on 28.08.2026, Retender floated on 22.09.2026, openedon 13.10.2026, under finalsiation. b. Rajabhatkhawa-Jayanti: After defreezing, Railways requested Forest Department to grant survey permission. Forest department has advised to review feasibility of project vide its letter dated 09.06.2026, due to following reasons:
Forest Department is shifting all villages from Buxa Tiger Reserve to outside.
No commercial mining is permitted inside BTR due to various court judgements.
Tourism is planned to be reduced systematically.
The feasibility of project is under review. 
</t>
  </si>
  <si>
    <t>a. 292.93 
b. 180.16</t>
  </si>
  <si>
    <t>Anticipated cost would be workout after completion of fresh survey</t>
  </si>
  <si>
    <t>Doubling between Motumari-Vishnupuram section (88.81Km) &amp; Rail over Rail (RoR) at Motumari (10.88 Km)</t>
  </si>
  <si>
    <t>Katihar- Jogbani–Barsoi– Radhikapur–Teznarayanpur
(236.14Km) and MM of New BG line Raiganj – Dalkhola (43.43Km)</t>
  </si>
  <si>
    <t>Byepass line between Guntakal-Nancherla stations</t>
  </si>
  <si>
    <t xml:space="preserve">The work of "Construction of new line from Raiganj to Dalkhola (43.43 Km) as Material Modification to Jogbani-Katihar-Barsoi-Radhikapur Gauge Convsersion Project" was Sanctioned on 09.05.2011 with estimated cost of Rs. 291.53 cr. 
Work was stooped since 2013 due to paucity of fund and then it was freezed on 24.09.2019 by Railway Board vide  D.O. Letter No. 2019/W-1/Genl./Budget/1 dated 24.09.2019. The project was freezed and the project has been De-freezed vide Railway Board's L. No. 2025/W-1/NFR/Misc./15 (E-3495405) Dtaed 19.01.2026. </t>
  </si>
  <si>
    <t>Bypass line at Nizamabad Junction Station for connecting Nizamabad-Secunderabad &amp; Nizamabad-Pedapalli</t>
  </si>
  <si>
    <t>291.53Cr</t>
  </si>
  <si>
    <t>Survey &amp; preparation of RE under progress.</t>
  </si>
  <si>
    <t>The project was sanctioned by Railway Board vide Letter No. 2011/W1/NF/WP 11-12/Raiganj-Dalkhola (MM) dated 09.05.2011, at a total sanctioned Detailed Estimate cost of ₹291.53 crore.  Subsequently, the project was kept in abeyance by Railway Board vide Letter No. 2019/W-1/Genl./Budget/1 dated 24.09.2019. The project was thereafter de-freezed by Railway Board vide Order No. 2024/W1/NFR/NL/Kaliaganj-Buniadpur/11(E-3456638) dated 19.01.2026</t>
  </si>
  <si>
    <t>Doubling of Boridand- Ambikapur (Surajpur)</t>
  </si>
  <si>
    <t>Nangal Dam-Talwara &amp; Taking over siding of Mukerian-Talwara (29.16 km)</t>
  </si>
  <si>
    <t>1982-83</t>
  </si>
  <si>
    <t>1985, 2001, 2003, 2008, 2019</t>
  </si>
  <si>
    <t>Saragbundia and Madvarani</t>
  </si>
  <si>
    <t>Project remained frozen due to exorbitant land cost demanded by State Govt. from 1991 to 1996. The project was de-freezed on the assurance given by Himachal Government for providing the Govt. land free of cost. Then it was decided to continue the project block section wise. Formal re-start of work on the project by Hon’ble MR on 13.06.1998.</t>
  </si>
  <si>
    <t>Rajnand Gaon - Dongargarh 4th Line</t>
  </si>
  <si>
    <t>Chandigarh-Baddi ©</t>
  </si>
  <si>
    <t>Dadhapara-Belha 4th Line</t>
  </si>
  <si>
    <t>Due to NGT court case. 
Hon’ble Court of NGT on 10.12.2024 directed for use of minerals including earth from the sources that have the environmental clearances from the concerned State Authorities of Govt. of Himachal Pradesh and Haryana. Compliance on the directions have been ensured by M/o Railways</t>
  </si>
  <si>
    <t>Kharsia-Jharadih</t>
  </si>
  <si>
    <t>1540.14 Cr</t>
  </si>
  <si>
    <t>Work is in progress. The land acquisition in the State of Haryana and Himachal Pradesh completed (97.4422 Ha). Overall physical progress is about 50%</t>
  </si>
  <si>
    <t>Kargi road-Salka road</t>
  </si>
  <si>
    <t>Bhanupalli-Bilaspur-Beri ©</t>
  </si>
  <si>
    <t>1) Land acquisition in Himachal delayed. Still one patch affcting Major Bridge not acquired till Bilaspur
Land acquisition from Bilaspur to Beri still not done. Sec 11 notifications were extended three times by GoHP and extension of sec 11 notification quashed by Hon'ble HC Shimla on 07.10.2026
2) Frequent troubles by locals to stop the work in Punjab, Tree cutting in Paharpur stopped by locals on payment issue.600 trees yet to be cut
3) Due to geology well foundation in 3 No Major bridges stuck and the design was changed to pile foundation abandoning the wells
4) Funds paucity and non cost sharing deposite by GoHP</t>
  </si>
  <si>
    <t>Bhilai- Bhilai Nagar 4th Line</t>
  </si>
  <si>
    <t>Rishikesh-Karanprayag</t>
  </si>
  <si>
    <t>Bhatapara- Hathbandh 4th Line</t>
  </si>
  <si>
    <t>Shahdol-Singhpur</t>
  </si>
  <si>
    <t>Project alignment  is mostly in tunnels (83%). Tunneling in challenging fragile Himalayan geology is unpredictable and  is dictated by actual ground behavior.</t>
  </si>
  <si>
    <t>Belha-Dagori 4th Line</t>
  </si>
  <si>
    <t>1.The primary reason is that the time value of money is not accounted for in the sanctioned railway estimate. Therefore, the impact of time is inevitable, even within the anticipated construction period.
2.The project primarily involves tunnelling, and the geological conditions encountered during construction were more fragile and challenging than those anticipated during the planning and estimation stage.</t>
  </si>
  <si>
    <t>Uncertainity in Geological Condition, Market Inflation increase in cost of raw material</t>
  </si>
  <si>
    <t>All efforts are being made to commission the project within the stipulated timeline, despite the significant challenges posed by the complex geological conditions of the Himalayan region.</t>
  </si>
  <si>
    <t>4th line between Bhilai Nagar-Durg Link Cabin</t>
  </si>
  <si>
    <t>Qadian-Beas</t>
  </si>
  <si>
    <t>4th line between Nipania-Bhatapara</t>
  </si>
  <si>
    <t>Mansa-Bhatinda (52 Km) Ph.I including new MM for Rama Mandi( Raman)-Maur Mandi(Maur) via Talwandi Sabo( 29.11 km) ©</t>
  </si>
  <si>
    <t>Lodhma - Piska - Link Line bypassing Hatia/Ranchi with Y connection</t>
  </si>
  <si>
    <t>Jun'28</t>
  </si>
  <si>
    <t>Anand Vihar-Tilak Bridge 3rd &amp; 4th line</t>
  </si>
  <si>
    <t>Doubling between Bhojudi- Talgoria in connection with permanent diversion of fire affected Dhanbad- Chandrapura line</t>
  </si>
  <si>
    <t>63 months</t>
  </si>
  <si>
    <t>Delay in approval for Tree felling Permission</t>
  </si>
  <si>
    <t>1- 2956800000 (Original Cost)                              2. 6672123000 (Revised Cost)</t>
  </si>
  <si>
    <t>Rourkela-Bondamunda A Cabin 5th line</t>
  </si>
  <si>
    <t xml:space="preserve">Cost increased due to revision in Yamuna Bridge Design/Drawing as per new Inland waterway Authority guidelines and site soil condition, inclusion of CA Land cost, formation retaining wall (constructed for restricting formation width to minimize tree </t>
  </si>
  <si>
    <t>Due to Major yard remodelling at Bondamunda.</t>
  </si>
  <si>
    <t>Change in Scope of Work based on Actual Field requirement, Uncertainity in Geological Condition, Escalation in Land Acquisition value</t>
  </si>
  <si>
    <t>Ajmer-Chittaurgarh-Udaipur (300 km), incl. Material Modifications for extension from Udaipur to Umra (11 km), Mavli- Nathdwara (16 km) NL , Mavli Jn.-Bari Sadri (82.01 km) GC and Nathdwara-New Nathdwara (10.80 km) new line.</t>
  </si>
  <si>
    <t>3rd &amp; 4th line between Bokaro Steel City and Bokaro 'N' cabin</t>
  </si>
  <si>
    <t>Jun'27</t>
  </si>
  <si>
    <t xml:space="preserve">As per present site requirement. </t>
  </si>
  <si>
    <t>Reason for Cost overrun is as follows:</t>
  </si>
  <si>
    <t>4th line between Bagdehi-Jharsuguda (21.50 Km)</t>
  </si>
  <si>
    <t>Jan'27</t>
  </si>
  <si>
    <t>Illoo-Silli Bypass line avoiding Muri Jn.</t>
  </si>
  <si>
    <t>Mar'28</t>
  </si>
  <si>
    <t>Manoharabad-Kotapalli ©</t>
  </si>
  <si>
    <t>Patch doubling of tarck between Shoranur and Vallathol Nagar including yard modifications.</t>
  </si>
  <si>
    <t>Nadikude-Srikalahasti</t>
  </si>
  <si>
    <t>2016, 2021</t>
  </si>
  <si>
    <t>Shimoga-Shikaripura-Ranebennur©</t>
  </si>
  <si>
    <t>2 019-20</t>
  </si>
  <si>
    <t xml:space="preserve">2 years </t>
  </si>
  <si>
    <t xml:space="preserve">Delay in land acqusition - Land acqusition proposals submitted on 2019. However  land  for Shimoga -Shikaripur (40 Km) only handed over in stretches in the year 2023 &amp; 2024 in stages. Accordingly, work is in progress for the section. However, land to the tune of  545.32 A out of 669.9
 A is yet to be handed over in Shikaripura - Ranebennur (56 Km) .  Hence delay in execution </t>
  </si>
  <si>
    <t>Kharsia-Dharamjaygarh with spur line ( Raigarh(Mand Colliery)-Bhudeopur)</t>
  </si>
  <si>
    <t>Rs994.47 is detailed estimate cost based on the FLS conducted whic is as per actaul requirement.</t>
  </si>
  <si>
    <t>Hassan-Belur©</t>
  </si>
  <si>
    <t xml:space="preserve">Not fixed as land was not handed over </t>
  </si>
  <si>
    <t>Feb 30</t>
  </si>
  <si>
    <t>Delay in land acquisition – The land acquisition proposals were submitted in 2022, and the same is yet to be handed over.</t>
  </si>
  <si>
    <t>Wadsa-Gadchiroli ©</t>
  </si>
  <si>
    <t>Rs.748.84 Cr is detailed estimate cost based on the FLS conducted whic is as per actaul requirement.</t>
  </si>
  <si>
    <t>Dharwad to Belgaum via Kittur ©</t>
  </si>
  <si>
    <t>Delay in land acquisition – The proposals were submitted in 2022 however, land acquisition has yet to be initiated by the GoK.</t>
  </si>
  <si>
    <t>Gevra Road-Pendra Road</t>
  </si>
  <si>
    <t>Rs 927.42is detailed estimate cost based on the FLS conducted whic is as per actaul requirement.</t>
  </si>
  <si>
    <t>Malugur - Palasamudram</t>
  </si>
  <si>
    <t>4 years</t>
  </si>
  <si>
    <t xml:space="preserve">Forest land is yet to be handed over </t>
  </si>
  <si>
    <t>Tamluk-Digha (88.90 Km) , Deshpran-Nandigram (18.50 km) with new MM for Kanthi-Egra (26.2 km); Nandakumar-Bolaipanda (28 km) NL &amp; Nandigram-Kandhimari (Nayachar) (7 km) NL</t>
  </si>
  <si>
    <t>2000,2009, 2011, 2012</t>
  </si>
  <si>
    <t xml:space="preserve">land cost increased and Hence land sub estimate sanctioned </t>
  </si>
  <si>
    <t>Feb'28
(Deshpran-Nandigram)</t>
  </si>
  <si>
    <t>Baiyapannahalli to Hosur ©</t>
  </si>
  <si>
    <t xml:space="preserve">Tamluk-Digha (88.90 Km): Commissioned 
Other MM projects were kept in shelved  by Railway Board dated 24.09.2019 due to land acquisition constraint in West Bengal. </t>
  </si>
  <si>
    <t>Yeshwantpur to Channasandra ©</t>
  </si>
  <si>
    <t>The reason for cost overrun due to shelving of projects and timeoverrun from the original sanctioned of work.</t>
  </si>
  <si>
    <t>Ruthiyai-Bye Pass line</t>
  </si>
  <si>
    <t>Administrative reason, Market Inflation increase in cost of raw material</t>
  </si>
  <si>
    <t>Tamluk-Digha (88.90 Km): Commissioned 
Deshpran-Nandigram (18.50 km):  38%
Kanthi-Egra (26.2 km): Defreezed on  19.01.26.
 Nandakumar-Bolaipanda (28 km) NL:Defreezed on  19.01.26. 
 Nandigram-Kandhimari (Nayachar) (7 km) NL: Defreezed on  19.01.26.</t>
  </si>
  <si>
    <t>(Digha) Chandaneshwar-Jaleswar (41 Km) with new MM for Digha-Egra (31 Km)</t>
  </si>
  <si>
    <t>2012, 2026</t>
  </si>
  <si>
    <t xml:space="preserve">Dec'29 (Chandaneshwar-Jaleswar) </t>
  </si>
  <si>
    <t>Guna- Bye Pass line</t>
  </si>
  <si>
    <t xml:space="preserve">Project was kept in abeyance due to land acquisition constraints in West Bengal portion by Railway Board letter dated 24.09.19.
</t>
  </si>
  <si>
    <t>Geratpur-Sanand and Botad-Ahmedabad</t>
  </si>
  <si>
    <t xml:space="preserve">Sept-27
</t>
  </si>
  <si>
    <t>Project was kept in abeyance due to land acquisition constraints in West Bengal portion. Railway board de-froze the project on 19.07.2023. The alignment has been revised, for new line from Jaleshwar to Chandanewar within Odisha state.
 MM for Digha-Egra (31 Km): Shelved by Railway Board letter dated 24.09.19</t>
  </si>
  <si>
    <t xml:space="preserve">10 Months </t>
  </si>
  <si>
    <t>There is heavy resistance for land acquisition from stakeholders. Land acquisition is major problem since project is located just outside Ahmedabad city and town planning scheme is rapidly spreading.</t>
  </si>
  <si>
    <t>Tirunnavaya-Guruvayur</t>
  </si>
  <si>
    <t>Angamali-Sabarimala</t>
  </si>
  <si>
    <t>Increase in cost for private land acquisition. Revised estimate already sent to Rly bd for sanction.</t>
  </si>
  <si>
    <t>Intersection No. 5 (0.9 Km) commissioned.work is in progress.</t>
  </si>
  <si>
    <t>New BG Line between Naliya-Jakhau Port</t>
  </si>
  <si>
    <t>Tindivanam-Nagari</t>
  </si>
  <si>
    <t>2028-29</t>
  </si>
  <si>
    <t xml:space="preserve">12 Month
</t>
  </si>
  <si>
    <t>Due to review of goods traffic at Jakhau Port by Operating department, alignment beyond Jakhau village is being revised.</t>
  </si>
  <si>
    <t>work is in progress between Naliya to Jakhau village.</t>
  </si>
  <si>
    <t>Khijadiya-Amreli MG</t>
  </si>
  <si>
    <t>Tindivanam-Gingee-Tiruvannamalai</t>
  </si>
  <si>
    <t xml:space="preserve">1 Year 2 Months </t>
  </si>
  <si>
    <t xml:space="preserve">03 Nos Temple at Amreli YARD coming in the alignment of MG Track and BG Loop Line No.3    
LHS in lieu of LC 16 :- Approach balance due to land issues raised by adjoining land owners.
LHS in lieu of LC-18:-  Pipe Line shifting by State Govt is  balance on approaches and land owners issues on approaches.    
</t>
  </si>
  <si>
    <t>Chennai-Cuddalore via Mahabalipuram</t>
  </si>
  <si>
    <t>Extra underpasses and pedestrain subways demanded by locals and state Govt.</t>
  </si>
  <si>
    <t xml:space="preserve">Work is in progress.
</t>
  </si>
  <si>
    <t>Samni-Jambusar MG</t>
  </si>
  <si>
    <t>May'24</t>
  </si>
  <si>
    <t>3 years 2 months</t>
  </si>
  <si>
    <t>Due to delay in land acquisition.</t>
  </si>
  <si>
    <t>Attipattu-Puttur</t>
  </si>
  <si>
    <t>Not Applicable</t>
  </si>
  <si>
    <t>work is in progress.</t>
  </si>
  <si>
    <t>Samlaya-Timba Rd NG</t>
  </si>
  <si>
    <t>Feb.'26</t>
  </si>
  <si>
    <t>1 years 4 months</t>
  </si>
  <si>
    <t>Madurai-Tuticorin via Aruppukkottai</t>
  </si>
  <si>
    <t>2030-31</t>
  </si>
  <si>
    <t>Nadiad-Petlad NG</t>
  </si>
  <si>
    <t>May'26</t>
  </si>
  <si>
    <t>1 years 2 months</t>
  </si>
  <si>
    <t>Initially, Land acquisition and forest tree cutting clearance. Currently, NIL</t>
  </si>
  <si>
    <t>Tiruchchirappali-Nagore-Karaikkal (145.33 Kms) with extn. Nagapattinam-Velankani-Tiruturaipundi (43 Kms) including new MM Karaikudi-Paralam NL(23 km)</t>
  </si>
  <si>
    <t>1995-96</t>
  </si>
  <si>
    <t>2010, 2019</t>
  </si>
  <si>
    <t>Petlad-Bhadran NG</t>
  </si>
  <si>
    <t>Cuddalore-Salem (191 Km) and MM of Chinnasalem-Kallakurichi New Line ©</t>
  </si>
  <si>
    <t>Choranda - Motikoral NG</t>
  </si>
  <si>
    <t>1999-00</t>
  </si>
  <si>
    <t>2001, 2004, 2006, 2015</t>
  </si>
  <si>
    <t>Aug.'26</t>
  </si>
  <si>
    <t>3 years 5 months</t>
  </si>
  <si>
    <t>Land acquisition is in process. Tender being opened.</t>
  </si>
  <si>
    <t>Miyagam-Karjan-Choranda-Malsar NG</t>
  </si>
  <si>
    <t>Ernakulam-Kumbalam</t>
  </si>
  <si>
    <t>June'27</t>
  </si>
  <si>
    <t>2 years 10 months</t>
  </si>
  <si>
    <t>At present no delay.  Regular meeting and follow up is being done for early land acquisition.</t>
  </si>
  <si>
    <t>Land acquisition is in process.  EPC Tender under preparation.</t>
  </si>
  <si>
    <t>Jambusar-Kavi NG</t>
  </si>
  <si>
    <t>June'26</t>
  </si>
  <si>
    <t>2 years 7 months</t>
  </si>
  <si>
    <t>Kumbalam-Thuravur Patch doubling (15.59 km)</t>
  </si>
  <si>
    <t>Land acquisition is in process.   Tender will be invited after land acquisition.</t>
  </si>
  <si>
    <t>Kosamba-Umarpada NG</t>
  </si>
  <si>
    <t>July'27</t>
  </si>
  <si>
    <t>1 years 9 months</t>
  </si>
  <si>
    <t xml:space="preserve">Due to delay in land acquisition and delay in sanction of 9.2 kms ROR which got sanctioned in March 2026. </t>
  </si>
  <si>
    <t>Munirabad-Mahabubnagar</t>
  </si>
  <si>
    <t>Nov'2019</t>
  </si>
  <si>
    <t>8 years 11 months</t>
  </si>
  <si>
    <t>Land acquisition is in process.  
For Kosamba-Valechha (9.2 kms) section a new rail line work  "Kosamba Rail over Rail flyover" sanctioned. 
            For Valechha-Zankavan (38.9 Km) section EPC tender awarded . Work is in progress. 
            For balance Zankavan-Umarpada (22 kms) section EPC will be processed after land acquisition.</t>
  </si>
  <si>
    <t xml:space="preserve">Delay in land acqusition - Land acqusition proposals submitted in stages during  2009-10, 2010-11 &amp; 2017-18. However  land was handed over in stretches in 2008-09, 2013-14, 2014-15 &amp; 2024 in stages. Work was taken up as per land availability and accordingly 84 Km out of 165 Km was commissioned. Work is in progress for balance section </t>
  </si>
  <si>
    <t>Rajkot - Kanalus</t>
  </si>
  <si>
    <t>8 months</t>
  </si>
  <si>
    <t>Increase in cost of land and increase in scope of yard modification due to conversion of D class station to B class.</t>
  </si>
  <si>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t>
  </si>
  <si>
    <t>4th Line Between Barejadi-Nandej (Geratpur)- Sanand (38.20 Km) (Ahmedabad Bypass)</t>
  </si>
  <si>
    <t xml:space="preserve">1 Year 4 Months </t>
  </si>
  <si>
    <t>Kadur-Chickmagalur-Sakleshpur ©</t>
  </si>
  <si>
    <t xml:space="preserve">10 years 11  months </t>
  </si>
  <si>
    <t>Provision of 'Y' connectivity between Sabarmati A and Asarva (0.9 Km)</t>
  </si>
  <si>
    <t>9 months</t>
  </si>
  <si>
    <r>
      <rPr>
        <b/>
        <sz val="10"/>
        <color theme="1"/>
        <rFont val="Arial"/>
        <family val="2"/>
      </rPr>
      <t xml:space="preserve">Kadur -chikmagalur (46km) </t>
    </r>
    <r>
      <rPr>
        <sz val="10"/>
        <color theme="1"/>
        <rFont val="Arial"/>
        <family val="2"/>
      </rPr>
      <t xml:space="preserve">
Land acquisition proposals were submitted to GoK in stages between Dec-1997 to 2009 based on allotment of funds by the Railway Board for Kadur -Chikmagalur section. The land was handed over by GoK in stages between 2000 to 2012. Accordingly the section was commisioned during 2013 
</t>
    </r>
    <r>
      <rPr>
        <b/>
        <sz val="10"/>
        <color theme="1"/>
        <rFont val="Arial"/>
        <family val="2"/>
      </rPr>
      <t>Chikmagalur -Belur -(22Km)</t>
    </r>
    <r>
      <rPr>
        <sz val="10"/>
        <color theme="1"/>
        <rFont val="Arial"/>
        <family val="2"/>
      </rPr>
      <t xml:space="preserve">
The Railway Board has frozen the project from the year 2007-13
• Delay in handing over of land between Chikmagalur (46Km) to Haddihalli (54.30 Km) to the extent of 70.28 Ha which falls in Chikmagalur district even though land acquisition requisition submitted during 2009-13.Land was hande d over in June 2022 only. Stage -II clearance for Forest land to the extent of 1.08 Ha is accorded in 05.07.2023 only,
• Delay in handing over of land between Haddihalli (54.30 Km) to Belur (68 Km) to the extent of 61.01 Ha which falls in Hassan district even though land acquisition requisition submitted during 2013. Major portion of land was handed over in March 23. 
• Accordingly work was taken up as per land availability and Chikmagalur -hadihalli  was commissioned in March 2025 and BAlance section Hadihalli -Belur was pllaned for commissioning during this year.
</t>
    </r>
    <r>
      <rPr>
        <b/>
        <sz val="10"/>
        <color theme="1"/>
        <rFont val="Arial"/>
        <family val="2"/>
      </rPr>
      <t>Belur -Sakleshpur - dropped by State Govt and frozen by Railays.</t>
    </r>
  </si>
  <si>
    <t>Delay in land acquisition by NHSRCL. Site vacated by NHSRCL in May-26. Work started after this.</t>
  </si>
  <si>
    <t>Land Acquisition, Forest &amp; Wildlife Clearance, Phase wise Sanctioning</t>
  </si>
  <si>
    <t>Multi Tracking between Chhayapuri-Bajva (2.0 Km)</t>
  </si>
  <si>
    <t>Rayadurg-Tumkur via Kalyandurg ©</t>
  </si>
  <si>
    <t>1 year 9 months</t>
  </si>
  <si>
    <t>Work was with Gatishakti initially.  Transferred to CAO© in March'25.</t>
  </si>
  <si>
    <t>Sept 2015</t>
  </si>
  <si>
    <t>12 years 8 months</t>
  </si>
  <si>
    <t>Not applicable.</t>
  </si>
  <si>
    <t xml:space="preserve">Delay in land acqusition -Land acqusition proposals submitted in 2010,2011,2012,2013,2016,2017,2018 &amp; 2019 in stages  . However complete  land was handed over in 2022,2024 &amp; 2025 in stages.Work was taken up as per land availability and accordingly 83 Km out of  206 was commissioned . Work is in progress for the balance sections </t>
  </si>
  <si>
    <t>Vasai byepass double line between Naigaon and Juchandra</t>
  </si>
  <si>
    <t>1 year 10 months</t>
  </si>
  <si>
    <t>Due to delay in land acquisition. 
Regular meeting and follow up is being done for early land acquisition.</t>
  </si>
  <si>
    <t>Bagalkot-Kudachi ©</t>
  </si>
  <si>
    <t xml:space="preserve"> Land acquisition is in process. Tenders for execution of site works will be floated commensurate to approval of ESP, Land acquisition &amp; mangrove clearance. </t>
  </si>
  <si>
    <t>Quadrupling between Samakhiali and Gandhidham</t>
  </si>
  <si>
    <t xml:space="preserve">July’ 27
</t>
  </si>
  <si>
    <t>5 Months</t>
  </si>
  <si>
    <t xml:space="preserve">Due to delay in land acquisition. </t>
  </si>
  <si>
    <t>9 years</t>
  </si>
  <si>
    <t>Delay in land acqusition - Land acquisition proposals were submitted in 2010,2011 and 2015. However, the major portion of the land was handed over in 2022 &amp; 2023 in  stages. Work was taken up as per land availability and accordingly 37 Km out of 142 Km was commissioned. Work is in progress for the balance sections wherever land is made available. 111.27 A of land is yet to be handed over to Railways.</t>
  </si>
  <si>
    <t>SIOB-BCOB (16 TKm) Section Commissioned on 11.08.2026 and in remaining section work is in progress</t>
  </si>
  <si>
    <t>Doubling between Vishvamitri-Dabhoi including 'Y' connection at Vishvamitri</t>
  </si>
  <si>
    <t>Dec.'27</t>
  </si>
  <si>
    <t>12 month</t>
  </si>
  <si>
    <t>Regular meeting and follow up is being done for early land acquisition.</t>
  </si>
  <si>
    <t xml:space="preserve">Land acquisition in progress. Tender will be invited after land acquisition. </t>
  </si>
  <si>
    <t>Tumkur-Chitradurg-Davangere ©</t>
  </si>
  <si>
    <t>10 years 9 months</t>
  </si>
  <si>
    <t>Delay in land acqusition - Land acqusition proposals submitted during 2012, 2013 &amp; 2014. However  the major portion of land was handed over in 2023-24 in strteches. Accodingly works are in progress wherever land is made available.249.76 A of land is yet to be handed over by GoK.</t>
  </si>
  <si>
    <t xml:space="preserve">Rs.1801 cr is the detailed estimate sancctioned based on the FLS conducted. </t>
  </si>
  <si>
    <t>Marikuppam-Kuppam</t>
  </si>
  <si>
    <t>12 years</t>
  </si>
  <si>
    <t>Delay in land acqusition - Land acqusition proposals were submitted on 2014 &amp; 2019. However complete land was handed over in 2023 and accordingly work is in progress .</t>
  </si>
  <si>
    <t xml:space="preserve">Rs.279.54 cr is the detailed estimate sancctioned based on the FLS conducted. </t>
  </si>
  <si>
    <t>Gadag-Wadi ©</t>
  </si>
  <si>
    <t>7 years 10 months</t>
  </si>
  <si>
    <r>
      <rPr>
        <sz val="10"/>
        <color theme="1"/>
        <rFont val="Arial"/>
        <family val="2"/>
      </rPr>
      <t xml:space="preserve">The time overrun in the Gadag–Wadi New BG Railway Line Project is primarily attributable to delayed and phased handover of land, pending forest clearance, local issues and other site-related constraints. Land was handed over to the Railways in phases, as detailed below:
</t>
    </r>
    <r>
      <rPr>
        <b/>
        <sz val="10"/>
        <color theme="1"/>
        <rFont val="Arial"/>
        <family val="2"/>
      </rPr>
      <t>Koppal District:</t>
    </r>
    <r>
      <rPr>
        <sz val="10"/>
        <color theme="1"/>
        <rFont val="Arial"/>
        <family val="2"/>
      </rPr>
      <t xml:space="preserve"> Out of the total 1,374.00 acres of land required, 1,213.12 acres have been acquired and handed over, with possession received during 08.03.2017 to 14.06.2019 and 13.12.2019 to 29.05.2020. The balance land of 160.88 acres is yet to be handed over.
</t>
    </r>
    <r>
      <rPr>
        <b/>
        <sz val="10"/>
        <color theme="1"/>
        <rFont val="Arial"/>
        <family val="2"/>
      </rPr>
      <t xml:space="preserve">Raichur District: </t>
    </r>
    <r>
      <rPr>
        <sz val="10"/>
        <color theme="1"/>
        <rFont val="Arial"/>
        <family val="2"/>
      </rPr>
      <t xml:space="preserve">Out of the total 1,155.00 acres of land required, 1,101.37 acres have been acquired and handed over, with possession received on 24.08.2023. The balance land of 53.63 acres is yet to be handed over.
</t>
    </r>
    <r>
      <rPr>
        <b/>
        <sz val="10"/>
        <color theme="1"/>
        <rFont val="Arial"/>
        <family val="2"/>
      </rPr>
      <t xml:space="preserve">Yadgir District: </t>
    </r>
    <r>
      <rPr>
        <sz val="10"/>
        <color theme="1"/>
        <rFont val="Arial"/>
        <family val="2"/>
      </rPr>
      <t xml:space="preserve">Out of the total 1,398.425 acres of land required, 1,323.07 acres have been acquired and handed over, with possession received during 20.04.2018 to 20.06.2019, and on 26.05.2020 and 06.07.2020. The balance land of 75.355 acres is yet to be handed over.
</t>
    </r>
    <r>
      <rPr>
        <b/>
        <sz val="10"/>
        <color theme="1"/>
        <rFont val="Arial"/>
        <family val="2"/>
      </rPr>
      <t>Kalaburagi District:</t>
    </r>
    <r>
      <rPr>
        <sz val="10"/>
        <color theme="1"/>
        <rFont val="Arial"/>
        <family val="2"/>
      </rPr>
      <t xml:space="preserve"> Out of the total 328.50 acres of land required, 303.925 acres have been acquired and handed over, with possession received during 16.12.2017 to 18.09.2019. The balance land of 24.575 acres is yet to be handed over.
</t>
    </r>
    <r>
      <rPr>
        <b/>
        <sz val="10"/>
        <color theme="1"/>
        <rFont val="Arial"/>
        <family val="2"/>
      </rPr>
      <t xml:space="preserve">Forest Land – Koppal: </t>
    </r>
    <r>
      <rPr>
        <sz val="10"/>
        <color theme="1"/>
        <rFont val="Arial"/>
        <family val="2"/>
      </rPr>
      <t xml:space="preserve">9.25 acres of forest land is required, for which Stage-I Forest Clearance is awaited.
</t>
    </r>
    <r>
      <rPr>
        <b/>
        <sz val="10"/>
        <color theme="1"/>
        <rFont val="Arial"/>
        <family val="2"/>
      </rPr>
      <t xml:space="preserve">Forest Land – Raichur: </t>
    </r>
    <r>
      <rPr>
        <sz val="10"/>
        <color theme="1"/>
        <rFont val="Arial"/>
        <family val="2"/>
      </rPr>
      <t xml:space="preserve">39.275 acres of forest land, lease agreement was signed on 23.08.2023 and working permission obtained.
</t>
    </r>
    <r>
      <rPr>
        <b/>
        <sz val="10"/>
        <color theme="1"/>
        <rFont val="Arial"/>
        <family val="2"/>
      </rPr>
      <t>Overall Land Status:</t>
    </r>
    <r>
      <rPr>
        <sz val="10"/>
        <color theme="1"/>
        <rFont val="Arial"/>
        <family val="2"/>
      </rPr>
      <t xml:space="preserve"> Against the total land requirement of 4,304.450 acres, including forest land, 3,980.760 acres have been acquired/handed over, while the balance 323.690 acres is yet to be handed over. Further, several critical issues persist in certain sections where land has already been handed over to Railways, affecting the progress and execution of project works.
Land acquisition delays, pending forest clearances and site-related constraints have adversely affected the progress of works, resulting in time overrun in the project.</t>
    </r>
  </si>
  <si>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
6. Inculsion of Tunnel length of 7575m in the Gurgunta Shorapur section as per the Ruling Graient of 1 in 150</t>
  </si>
  <si>
    <t>Hospet-Hubli-Londa-Tinaighat-Vasco-de-Gama</t>
  </si>
  <si>
    <t>Sept 2024</t>
  </si>
  <si>
    <t>04 Years 3 months</t>
  </si>
  <si>
    <t xml:space="preserve">Total length 311.48 km, Commissioned length 260.83 km , Work in progress 12.6 km , Balance 38 km is  passing through Wildlife sanctuary. Forest/Wildlife clearance is not received. Hence work is on hold. </t>
  </si>
  <si>
    <t>1. Hubli byepass 12km Double line is newly added in the scope of work 
2. Land acquisition cost increased due to enhancement by Courts 
3. Formation width increased from 6.85 to 7.85 km as per policy 
4. Track spacing increased at Major Bridge approaches 
5. No of loop lines increased in approved ESP as compared to Abstract Estimate.
6. Increase in sleeper cost from Rs1422 to Rs2669 and Rail cost from Rs58811 to Rs 79431
7. Ballast cushion increased from 300 to 350 mm 
8. Construction 9 RUBs to eliminate LCs</t>
  </si>
  <si>
    <t>Toranagallu-Ranjithpura (22.9 km)</t>
  </si>
  <si>
    <t xml:space="preserve">Not fixed as DPR was not sanctioned </t>
  </si>
  <si>
    <t>This project was sanctioned in 2011-12 and detailed estimates submitted to the Railway Board  on 28.09.2012.
As directed by Railway Board , possibility of  execution under PPP model was explored by SWR and PCOM vide their letter dated 17.05.2019 has communicated to Railway Board that the same is not feasible.
 However, later on  the Railway Board has included this project as Energy corridor projects. Hence, FLS was reconducted and DPR was  sanctioned  on 18.07.2025
Hence, No delay after sanction of DPR</t>
  </si>
  <si>
    <t>ND</t>
  </si>
  <si>
    <t xml:space="preserve">DPR sanctioned in 2025 based on the latest FLS conducted. Hence No varaition </t>
  </si>
  <si>
    <t>Ramganjmandi-Bhopal</t>
  </si>
  <si>
    <t>Lalitpur-Satna, Rewa-Singrauli &amp; Mahoba-Khajuraho</t>
  </si>
  <si>
    <t>Dahod-Indore via Sardarpur, Jhabua &amp; Dhar</t>
  </si>
  <si>
    <t>June'17</t>
  </si>
  <si>
    <t>13 year 5 months</t>
  </si>
  <si>
    <t>Allotment of inadequate funds for the project from 2007-08 to 2017-18. 
The Project was kept on hold between May-2020 &amp; Dec-21 as advised by the Railway Board.
Work was also delayed due to delay in land acquisition, change of alignment, Forest land issue and tunnal works.</t>
  </si>
  <si>
    <t>1. Change in formation width from 6.85 m to 7.85 m &amp; increase in formation height upto 30 m at different locations. 2. Reason for the cost escalation is the substantial increase in land rates from 2006–07 to 2024–25 3. 52 kg rails revised to 60 kg as per the new RB guidelines. Ballast cushion increase from 250mm to 350 mm as per the new RB guidelines. 4. All LC eliminate ap per RB policy. 5. Steel composit bridge provisioned now in place of PSC girder &amp; Viaducts also from 2 to 20 as per latest instructions to keep formation height upto 15m. 6. High level P/F has been proposed as per latest Railway Board policy minimum Passanger aminities as per latest Railway Board policy. 7. Due to increae in length due to track numbers, bank height and increase in width from 2.44 to 6.1m. 8. As per Railway Brd policy Ty-I quarters have been replaced by Ty-II quarters and plinth area of Ty-II, Ty-III and Ty-IV increased.</t>
  </si>
  <si>
    <t>Chhota Udepur-Dhar (Tirla)</t>
  </si>
  <si>
    <t>Sept.'18</t>
  </si>
  <si>
    <t>Feb 31</t>
  </si>
  <si>
    <t>12 year 5 months</t>
  </si>
  <si>
    <t xml:space="preserve">Delay due to complex geographical locations involving mountain terrain in Seismic Zone-V, sloping valleys, long detours, 50% project length in reserved forest area, where various specific conditions imposed by MoEF in stage-II approval given in July-25 are to be observed, intricate construction of viaducts, bridges and tall piers with heights ranging upto 52 m, high banks and deep cuttings upt 35 m in basalt rock involving technical challenges and complex issues of design. </t>
  </si>
  <si>
    <t>Detailed estimate sanction on 17.09.2012. Revision in cost due to following reason: 1. Quantity variation due to site conditions. 2. Due to change in specifications, instruction from Railway Board/Division. 3. Due to Award of Contracts.</t>
  </si>
  <si>
    <t>Bhuj-Naliya with extn. From Naliya to Vayor (24.65 km)</t>
  </si>
  <si>
    <t>7 years 6 months</t>
  </si>
  <si>
    <t>Detailed estimate for Bhuj - Naliya (101.25 kms) costing Rs. 321.62 crores sanctioned by Rly Board on 07.08.2014. Railway Board , vide letter No. 2014/Infra/12/18 Dated 05.08.2016 decided that the project will be implemented through joint venture route with RITES under participative Model Policy 2012. However, in terms of Railway Board’s letter No.99/W-1/GC/Bhuj- Naliya/Part Dated 02.09.2016, Railway Board allowed the Western Railway to execute the targeted section i.e. Bhuj-Desalpur section (First 30 Km.) of the project. Accordingly, Western Railway executed Bhuj-Desalpur section and the CRS inspection was done on 16.08.2017.  
Due to failure of the concessionaire M/s BNV Gujarat Rail Pvt. Ltd. to take up the work forward, M/s G-RIDE was identified this work for further development.
- G-RIDE vide letter No. G-RIDE/Bhuj-Naliya Project/Dir MTP/2020-1007 Dated 05.08.2020 expressed their inability to undertake the above project.
- Bhuj-Desalpar (30 Km) section was already commissioned in the year 2017 by Western Railway.
- The Gauge conversion Project between Bhuj – Naliya (for 72.50 Kms) was allotted back to Western Railway on 28.04.2022.
- Desalpar-Naliya was commissioned in Oct'24.
- Naliya-Vayor as extension was sanctioned in 2023-24.</t>
  </si>
  <si>
    <t>Delay in finalisation of executing agency. Sanction of Naliya-Vayor as extension to main Project.</t>
  </si>
  <si>
    <t>Administrative reason, Change in Scope of Work based on Actual Field requirement</t>
  </si>
  <si>
    <t>Ahmedabad-Himmatnagar-Udaipur including Modasa - Shamlaji Road</t>
  </si>
  <si>
    <t>2012, 2017, 2023</t>
  </si>
  <si>
    <t>9 years 6 months</t>
  </si>
  <si>
    <t>The work sanctioned in year 2012. 
Due to inadequate funds, work not started till 2015. In year 2015 work started after FLS, technical checks, detailed drawings and acceptance of tender.
Work also delayed due to change in policies, change in scope of works, various instructions from competent authorities, better facilities to passengers.
Modasa-Shamlaji sanctioned in year 2023</t>
  </si>
  <si>
    <t>Inclusion of LHS in scope of work led to change in L-section.
Change of formation width from 6850 to 7850mm.
Change in rates of Pway materials during the time period.
Changes in Foot over bridges policy.
Signalling change from PI to EI.
Sanction of Modasa-Shamlaji.</t>
  </si>
  <si>
    <t>Ratlam-Mhow-Khandwa-Akola and MM of Fatehabad-Chandrawati Ganj-Ujjain</t>
  </si>
  <si>
    <t>March'13</t>
  </si>
  <si>
    <t>13 year 6 months</t>
  </si>
  <si>
    <t>Due to difficult Geographical terrain detour alignment and delay in land acquisition including forest land. It Tunnel work and many Major and Minor bridges.</t>
  </si>
  <si>
    <t>Change in Alignment mainly in Hilly areas and change in Bridge scheme. Also due to increase in width of embankment as per latest guidelines.</t>
  </si>
  <si>
    <t>Miyagam-Karjan-Dabhoi-Samalaya NG</t>
  </si>
  <si>
    <t>Jan'22</t>
  </si>
  <si>
    <t>4 year 8 months</t>
  </si>
  <si>
    <t>As the Detailed estimate vetted in 2017. Now Due to escalation and as the tenders are now being awarded in 2026, the cost of tenders has increased. Therefore the original sanctioned estimate of 844cr will now have to be revised.</t>
  </si>
  <si>
    <t xml:space="preserve">No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</si>
</sst>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 d"/>
    <numFmt numFmtId="165" formatCode="yyyy\-mm"/>
    <numFmt numFmtId="166" formatCode="mmm\ yyyy"/>
    <numFmt numFmtId="167" formatCode="yyyy\-m"/>
    <numFmt numFmtId="168" formatCode="mmmm\,\ yyyy"/>
    <numFmt numFmtId="169" formatCode="mmmm\ d"/>
    <numFmt numFmtId="170" formatCode="&quot;$&quot;#,##0.00"/>
  </numFmts>
  <fonts count="36">
    <font>
      <sz val="10"/>
      <color rgb="FF000000"/>
      <name val="Arial"/>
      <scheme val="minor"/>
    </font>
    <font>
      <sz val="10"/>
      <color theme="1"/>
      <name val="Arial"/>
      <family val="2"/>
      <scheme val="minor"/>
    </font>
    <font>
      <b/>
      <sz val="10"/>
      <color rgb="FF000000"/>
      <name val="Arial"/>
      <family val="2"/>
    </font>
    <font>
      <b/>
      <sz val="10"/>
      <color rgb="FF000000"/>
      <name val="Arial"/>
      <family val="2"/>
    </font>
    <font>
      <sz val="18"/>
      <color theme="1"/>
      <name val="Arial"/>
      <family val="2"/>
    </font>
    <font>
      <b/>
      <sz val="9"/>
      <color rgb="FF000000"/>
      <name val="Arial"/>
      <family val="2"/>
    </font>
    <font>
      <b/>
      <sz val="8"/>
      <color rgb="FF000000"/>
      <name val="Arial"/>
      <family val="2"/>
    </font>
    <font>
      <sz val="10"/>
      <color rgb="FF000000"/>
      <name val="Arial"/>
      <family val="2"/>
    </font>
    <font>
      <sz val="10"/>
      <color rgb="FF9900FF"/>
      <name val="Arial"/>
      <family val="2"/>
    </font>
    <font>
      <sz val="10"/>
      <color theme="1"/>
      <name val="Arial"/>
      <family val="2"/>
      <scheme val="minor"/>
    </font>
    <font>
      <sz val="9"/>
      <color rgb="FF000000"/>
      <name val="Arial"/>
      <family val="2"/>
    </font>
    <font>
      <sz val="10"/>
      <color theme="1"/>
      <name val="Arial"/>
      <family val="2"/>
    </font>
    <font>
      <sz val="10"/>
      <color rgb="FF9900FF"/>
      <name val="Arial"/>
      <family val="2"/>
    </font>
    <font>
      <sz val="10"/>
      <color rgb="FF000000"/>
      <name val="Arial"/>
      <family val="2"/>
    </font>
    <font>
      <sz val="9"/>
      <color rgb="FF9900FF"/>
      <name val="Arial"/>
      <family val="2"/>
    </font>
    <font>
      <sz val="10"/>
      <color theme="1"/>
      <name val="Arial"/>
      <family val="2"/>
    </font>
    <font>
      <sz val="11"/>
      <color theme="1"/>
      <name val="Arial"/>
      <family val="2"/>
    </font>
    <font>
      <sz val="8"/>
      <color rgb="FF000000"/>
      <name val="Arial"/>
      <family val="2"/>
    </font>
    <font>
      <sz val="11"/>
      <color theme="1"/>
      <name val="Arial"/>
      <family val="2"/>
      <scheme val="minor"/>
    </font>
    <font>
      <sz val="11"/>
      <color theme="1"/>
      <name val="&quot;Calibri&quot;"/>
    </font>
    <font>
      <sz val="12"/>
      <color theme="1"/>
      <name val="Times New Roman"/>
      <family val="1"/>
    </font>
    <font>
      <sz val="8"/>
      <color rgb="FF9900FF"/>
      <name val="Arial"/>
      <family val="2"/>
    </font>
    <font>
      <sz val="10"/>
      <color rgb="FF222222"/>
      <name val="&quot;Arial&quot;"/>
    </font>
    <font>
      <sz val="9"/>
      <color rgb="FF7030A0"/>
      <name val="Arial"/>
      <family val="2"/>
    </font>
    <font>
      <sz val="11"/>
      <color rgb="FF000000"/>
      <name val="Arial"/>
      <family val="2"/>
    </font>
    <font>
      <b/>
      <sz val="10"/>
      <color rgb="FF9900FF"/>
      <name val="Arial"/>
      <family val="2"/>
    </font>
    <font>
      <sz val="12"/>
      <color rgb="FF000000"/>
      <name val="&quot;Arial&quot;"/>
    </font>
    <font>
      <sz val="11"/>
      <color rgb="FF9900FF"/>
      <name val="Arial"/>
      <family val="2"/>
    </font>
    <font>
      <sz val="8"/>
      <color theme="1"/>
      <name val="Arial"/>
      <family val="2"/>
      <scheme val="minor"/>
    </font>
    <font>
      <b/>
      <sz val="13"/>
      <color rgb="FFFF0000"/>
      <name val="Arial"/>
      <family val="2"/>
    </font>
    <font>
      <sz val="12"/>
      <color rgb="FF000000"/>
      <name val="Times New Roman"/>
      <family val="1"/>
    </font>
    <font>
      <sz val="9"/>
      <color theme="1"/>
      <name val="Arial"/>
      <family val="2"/>
      <scheme val="minor"/>
    </font>
    <font>
      <b/>
      <sz val="18"/>
      <color rgb="FF000000"/>
      <name val="Calibri"/>
      <family val="2"/>
    </font>
    <font>
      <sz val="10"/>
      <color rgb="FF000000"/>
      <name val="Arial"/>
      <family val="2"/>
      <scheme val="minor"/>
    </font>
    <font>
      <b/>
      <u/>
      <sz val="10"/>
      <color theme="1"/>
      <name val="Arial"/>
      <family val="2"/>
    </font>
    <font>
      <b/>
      <sz val="10"/>
      <color theme="1"/>
      <name val="Arial"/>
      <family val="2"/>
    </font>
  </fonts>
  <fills count="6">
    <fill>
      <patternFill patternType="none"/>
    </fill>
    <fill>
      <patternFill patternType="gray125"/>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7">
    <xf numFmtId="0" fontId="0" fillId="0" borderId="0" xfId="0"/>
    <xf numFmtId="0" fontId="1" fillId="0" borderId="0" xfId="0" applyFont="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xf numFmtId="0" fontId="4" fillId="0" borderId="0" xfId="0" applyFont="1" applyAlignment="1">
      <alignment horizontal="center"/>
    </xf>
    <xf numFmtId="0" fontId="4" fillId="0" borderId="1" xfId="0" applyFont="1" applyBorder="1"/>
    <xf numFmtId="0" fontId="4" fillId="0" borderId="1" xfId="0" applyFont="1" applyBorder="1" applyAlignment="1">
      <alignment horizont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4" borderId="1" xfId="0" applyFont="1" applyFill="1" applyBorder="1" applyAlignment="1">
      <alignment horizontal="center" vertical="top" wrapText="1"/>
    </xf>
    <xf numFmtId="0" fontId="6"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vertical="top"/>
    </xf>
    <xf numFmtId="0" fontId="10" fillId="0" borderId="1" xfId="0" applyFont="1" applyBorder="1" applyAlignment="1">
      <alignment horizontal="center" vertical="center" wrapText="1"/>
    </xf>
    <xf numFmtId="0" fontId="1" fillId="0" borderId="1" xfId="0" applyFont="1" applyBorder="1" applyAlignment="1">
      <alignment vertical="top" wrapText="1"/>
    </xf>
    <xf numFmtId="0" fontId="1" fillId="0" borderId="1" xfId="0" applyFont="1" applyBorder="1"/>
    <xf numFmtId="164" fontId="10"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 fillId="0" borderId="0" xfId="0" applyFont="1"/>
    <xf numFmtId="164" fontId="12"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64" fontId="14" fillId="0" borderId="1" xfId="0" applyNumberFormat="1" applyFont="1" applyBorder="1" applyAlignment="1">
      <alignment horizontal="center" vertical="center" wrapText="1"/>
    </xf>
    <xf numFmtId="165" fontId="13"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66" fontId="15" fillId="0" borderId="1" xfId="0" applyNumberFormat="1" applyFont="1" applyBorder="1" applyAlignment="1">
      <alignment horizontal="center" vertical="center" wrapText="1"/>
    </xf>
    <xf numFmtId="2" fontId="9" fillId="0" borderId="1" xfId="0" applyNumberFormat="1" applyFont="1" applyBorder="1" applyAlignment="1">
      <alignment vertical="center" wrapText="1"/>
    </xf>
    <xf numFmtId="0" fontId="11" fillId="0" borderId="1" xfId="0" applyFont="1" applyBorder="1" applyAlignment="1">
      <alignment horizontal="left" vertical="center" wrapText="1"/>
    </xf>
    <xf numFmtId="0" fontId="1" fillId="0" borderId="1" xfId="0" applyFont="1" applyBorder="1" applyAlignment="1">
      <alignment horizontal="center" vertical="center"/>
    </xf>
    <xf numFmtId="2" fontId="16" fillId="0" borderId="1"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167" fontId="13" fillId="0" borderId="1" xfId="0" applyNumberFormat="1" applyFont="1" applyBorder="1" applyAlignment="1">
      <alignment horizontal="center" vertical="center" wrapText="1"/>
    </xf>
    <xf numFmtId="2" fontId="15"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top" wrapText="1"/>
    </xf>
    <xf numFmtId="0" fontId="17" fillId="0" borderId="1" xfId="0" applyFont="1" applyBorder="1" applyAlignment="1">
      <alignment horizontal="center" vertical="center" wrapText="1"/>
    </xf>
    <xf numFmtId="164" fontId="17" fillId="0" borderId="1" xfId="0" applyNumberFormat="1" applyFont="1" applyBorder="1" applyAlignment="1">
      <alignment horizontal="center" vertical="center" wrapText="1"/>
    </xf>
    <xf numFmtId="0" fontId="18" fillId="0" borderId="1" xfId="0" applyFont="1" applyBorder="1" applyAlignment="1">
      <alignment vertical="center" wrapText="1"/>
    </xf>
    <xf numFmtId="2" fontId="18" fillId="0" borderId="0" xfId="0" applyNumberFormat="1" applyFont="1" applyAlignment="1">
      <alignment horizontal="center" vertical="center" wrapText="1"/>
    </xf>
    <xf numFmtId="2" fontId="18" fillId="0" borderId="1" xfId="0" applyNumberFormat="1" applyFont="1" applyBorder="1" applyAlignment="1">
      <alignment vertical="center" wrapText="1"/>
    </xf>
    <xf numFmtId="168" fontId="17"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167" fontId="8" fillId="0" borderId="1" xfId="0" applyNumberFormat="1"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wrapText="1"/>
    </xf>
    <xf numFmtId="0" fontId="19" fillId="0" borderId="0" xfId="0" applyFont="1" applyAlignment="1">
      <alignment wrapText="1"/>
    </xf>
    <xf numFmtId="2" fontId="20" fillId="0" borderId="1" xfId="0" applyNumberFormat="1" applyFont="1" applyBorder="1" applyAlignment="1">
      <alignment horizontal="center" vertical="top" wrapText="1"/>
    </xf>
    <xf numFmtId="2" fontId="20" fillId="0" borderId="1" xfId="0" applyNumberFormat="1" applyFont="1" applyBorder="1" applyAlignment="1">
      <alignment vertical="top" wrapText="1"/>
    </xf>
    <xf numFmtId="2" fontId="16" fillId="0" borderId="1" xfId="0" applyNumberFormat="1" applyFont="1" applyBorder="1" applyAlignment="1">
      <alignment horizontal="center" vertical="top" wrapText="1"/>
    </xf>
    <xf numFmtId="0" fontId="21" fillId="0" borderId="1" xfId="0" applyFont="1" applyBorder="1" applyAlignment="1">
      <alignment horizontal="center" vertical="center" wrapText="1"/>
    </xf>
    <xf numFmtId="1" fontId="9" fillId="0" borderId="1" xfId="0" applyNumberFormat="1" applyFont="1" applyBorder="1" applyAlignment="1">
      <alignment vertical="center" wrapText="1"/>
    </xf>
    <xf numFmtId="164" fontId="21"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6" fontId="17" fillId="0" borderId="1" xfId="0" applyNumberFormat="1" applyFont="1" applyBorder="1" applyAlignment="1">
      <alignment horizontal="center" vertical="center" wrapText="1"/>
    </xf>
    <xf numFmtId="0" fontId="22" fillId="5" borderId="1" xfId="0" applyFont="1" applyFill="1" applyBorder="1" applyAlignment="1">
      <alignment vertical="center" wrapText="1"/>
    </xf>
    <xf numFmtId="0" fontId="9" fillId="0" borderId="1" xfId="0" applyFont="1" applyBorder="1" applyAlignment="1">
      <alignment vertical="top" wrapText="1"/>
    </xf>
    <xf numFmtId="0" fontId="23"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167" fontId="10" fillId="0" borderId="1" xfId="0" applyNumberFormat="1" applyFont="1" applyBorder="1" applyAlignment="1">
      <alignment horizontal="center" vertical="center" wrapText="1"/>
    </xf>
    <xf numFmtId="169" fontId="10"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164" fontId="24" fillId="0" borderId="1" xfId="0" applyNumberFormat="1" applyFont="1" applyBorder="1" applyAlignment="1">
      <alignment horizontal="center" vertical="center" wrapText="1"/>
    </xf>
    <xf numFmtId="165" fontId="14" fillId="0" borderId="1" xfId="0" applyNumberFormat="1" applyFont="1" applyBorder="1" applyAlignment="1">
      <alignment horizontal="center" vertical="center" wrapText="1"/>
    </xf>
    <xf numFmtId="0" fontId="25" fillId="0" borderId="1" xfId="0" applyFont="1" applyBorder="1" applyAlignment="1">
      <alignment vertical="center" wrapText="1"/>
    </xf>
    <xf numFmtId="1" fontId="11" fillId="0" borderId="1" xfId="0" applyNumberFormat="1" applyFont="1" applyBorder="1" applyAlignment="1">
      <alignment horizontal="center" vertical="center" wrapText="1"/>
    </xf>
    <xf numFmtId="0" fontId="1" fillId="0" borderId="0" xfId="0" applyFont="1" applyAlignment="1">
      <alignment vertical="center" wrapText="1"/>
    </xf>
    <xf numFmtId="169" fontId="12" fillId="0" borderId="1" xfId="0" applyNumberFormat="1" applyFont="1" applyBorder="1" applyAlignment="1">
      <alignment horizontal="center" vertical="center" wrapText="1"/>
    </xf>
    <xf numFmtId="0" fontId="1" fillId="0" borderId="0" xfId="0" applyFont="1" applyAlignment="1">
      <alignment vertical="top" wrapText="1"/>
    </xf>
    <xf numFmtId="0" fontId="26" fillId="0" borderId="1" xfId="0" applyFont="1" applyBorder="1"/>
    <xf numFmtId="169" fontId="24" fillId="0" borderId="1" xfId="0" applyNumberFormat="1" applyFont="1" applyBorder="1" applyAlignment="1">
      <alignment horizontal="center" vertical="center" wrapText="1"/>
    </xf>
    <xf numFmtId="164" fontId="8" fillId="0" borderId="0" xfId="0" applyNumberFormat="1" applyFont="1" applyAlignment="1">
      <alignment horizontal="center" vertical="center" wrapText="1"/>
    </xf>
    <xf numFmtId="0" fontId="27" fillId="0" borderId="1" xfId="0" applyFont="1" applyBorder="1" applyAlignment="1">
      <alignment horizontal="center" vertical="center" wrapText="1"/>
    </xf>
    <xf numFmtId="164" fontId="27" fillId="0" borderId="1" xfId="0" applyNumberFormat="1" applyFont="1" applyBorder="1" applyAlignment="1">
      <alignment horizontal="center" vertical="center" wrapText="1"/>
    </xf>
    <xf numFmtId="0" fontId="1" fillId="0" borderId="0" xfId="0" applyFont="1" applyAlignment="1">
      <alignment vertical="top"/>
    </xf>
    <xf numFmtId="0" fontId="1" fillId="0" borderId="1" xfId="0" applyFont="1" applyBorder="1" applyAlignment="1">
      <alignment vertical="center"/>
    </xf>
    <xf numFmtId="0" fontId="1" fillId="0" borderId="1" xfId="0" applyFont="1" applyBorder="1" applyAlignment="1">
      <alignment horizontal="center" vertical="top"/>
    </xf>
    <xf numFmtId="0" fontId="1" fillId="0" borderId="1" xfId="0" applyFont="1" applyBorder="1" applyAlignment="1">
      <alignment horizontal="center" vertical="top" wrapText="1"/>
    </xf>
    <xf numFmtId="170" fontId="1" fillId="0" borderId="1" xfId="0" applyNumberFormat="1" applyFont="1" applyBorder="1" applyAlignment="1">
      <alignment vertical="center" wrapText="1"/>
    </xf>
    <xf numFmtId="49" fontId="1" fillId="0" borderId="1" xfId="0" applyNumberFormat="1" applyFont="1" applyBorder="1" applyAlignment="1">
      <alignment vertical="top" wrapText="1"/>
    </xf>
    <xf numFmtId="49" fontId="1" fillId="0" borderId="1" xfId="0" applyNumberFormat="1" applyFont="1" applyBorder="1" applyAlignment="1">
      <alignment vertical="center" wrapText="1"/>
    </xf>
    <xf numFmtId="0" fontId="1" fillId="0" borderId="0" xfId="0" applyFont="1" applyAlignment="1">
      <alignment horizontal="center" vertical="center" wrapText="1"/>
    </xf>
    <xf numFmtId="167" fontId="14"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164" fontId="10" fillId="0" borderId="0" xfId="0" applyNumberFormat="1" applyFont="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left" wrapText="1"/>
    </xf>
    <xf numFmtId="165" fontId="17" fillId="0" borderId="1" xfId="0" applyNumberFormat="1" applyFont="1" applyBorder="1" applyAlignment="1">
      <alignment horizontal="center" vertical="center" wrapText="1"/>
    </xf>
    <xf numFmtId="167" fontId="17" fillId="0" borderId="1" xfId="0" applyNumberFormat="1" applyFont="1" applyBorder="1" applyAlignment="1">
      <alignment horizontal="center" vertical="center" wrapText="1"/>
    </xf>
    <xf numFmtId="0" fontId="28" fillId="0" borderId="1" xfId="0" applyFont="1" applyBorder="1" applyAlignment="1">
      <alignment wrapText="1"/>
    </xf>
    <xf numFmtId="0" fontId="18" fillId="0" borderId="1" xfId="0" applyFont="1" applyBorder="1" applyAlignment="1">
      <alignment wrapText="1"/>
    </xf>
    <xf numFmtId="0" fontId="28" fillId="0" borderId="1" xfId="0" applyFont="1" applyBorder="1"/>
    <xf numFmtId="164" fontId="24" fillId="5" borderId="1" xfId="0" applyNumberFormat="1" applyFont="1" applyFill="1" applyBorder="1" applyAlignment="1">
      <alignment horizontal="center" vertical="top"/>
    </xf>
    <xf numFmtId="0" fontId="11" fillId="5" borderId="1" xfId="0" applyFont="1" applyFill="1" applyBorder="1" applyAlignment="1">
      <alignment vertical="top"/>
    </xf>
    <xf numFmtId="0" fontId="11" fillId="5" borderId="1" xfId="0" applyFont="1" applyFill="1" applyBorder="1" applyAlignment="1">
      <alignment horizontal="right" vertical="top"/>
    </xf>
    <xf numFmtId="3" fontId="10" fillId="0" borderId="1" xfId="0" applyNumberFormat="1" applyFont="1" applyBorder="1" applyAlignment="1">
      <alignment horizontal="center" vertical="center" wrapText="1"/>
    </xf>
    <xf numFmtId="0" fontId="11" fillId="0" borderId="0" xfId="0" applyFont="1" applyAlignment="1">
      <alignment horizontal="center" vertical="center" wrapText="1"/>
    </xf>
    <xf numFmtId="167" fontId="21" fillId="0" borderId="1" xfId="0" applyNumberFormat="1" applyFont="1" applyBorder="1" applyAlignment="1">
      <alignment horizontal="center" vertical="center" wrapText="1"/>
    </xf>
    <xf numFmtId="169" fontId="13"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10" fillId="0" borderId="0" xfId="0" applyFont="1" applyAlignment="1">
      <alignment horizontal="center" vertical="center" wrapText="1"/>
    </xf>
    <xf numFmtId="0" fontId="13" fillId="0" borderId="1" xfId="0" applyFont="1" applyBorder="1" applyAlignment="1">
      <alignment horizontal="left" vertical="center" wrapText="1"/>
    </xf>
    <xf numFmtId="167" fontId="24" fillId="0" borderId="1" xfId="0" applyNumberFormat="1" applyFont="1" applyBorder="1" applyAlignment="1">
      <alignment horizontal="center" vertical="center" wrapText="1"/>
    </xf>
    <xf numFmtId="0" fontId="6" fillId="0" borderId="1" xfId="0" applyFont="1" applyBorder="1"/>
    <xf numFmtId="0" fontId="29" fillId="0" borderId="1" xfId="0" applyFont="1" applyBorder="1" applyAlignment="1">
      <alignment horizontal="center"/>
    </xf>
    <xf numFmtId="166" fontId="10"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169" fontId="3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wrapText="1"/>
    </xf>
    <xf numFmtId="164" fontId="32" fillId="0" borderId="1" xfId="0" applyNumberFormat="1" applyFont="1" applyBorder="1" applyAlignment="1">
      <alignment horizontal="center"/>
    </xf>
    <xf numFmtId="2" fontId="1" fillId="0" borderId="1" xfId="0" applyNumberFormat="1" applyFont="1" applyBorder="1" applyAlignment="1">
      <alignment horizontal="center" vertical="center"/>
    </xf>
    <xf numFmtId="2" fontId="33" fillId="0" borderId="1" xfId="0" applyNumberFormat="1" applyFont="1" applyBorder="1" applyAlignment="1">
      <alignment horizontal="center" vertical="center"/>
    </xf>
    <xf numFmtId="2" fontId="1" fillId="0" borderId="1" xfId="0" applyNumberFormat="1" applyFont="1" applyBorder="1" applyAlignment="1">
      <alignment horizontal="center" vertical="center" wrapText="1"/>
    </xf>
  </cellXfs>
  <cellStyles count="1">
    <cellStyle name="Normal" xfId="0" builtinId="0"/>
  </cellStyles>
  <dxfs count="2">
    <dxf>
      <fill>
        <patternFill patternType="solid">
          <fgColor rgb="FFFFFFFF"/>
          <bgColor rgb="FFFFFFFF"/>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D1000"/>
  <sheetViews>
    <sheetView workbookViewId="0"/>
  </sheetViews>
  <sheetFormatPr baseColWidth="10" defaultColWidth="12.6640625" defaultRowHeight="15.75" customHeight="1"/>
  <cols>
    <col min="3" max="3" width="39.6640625" customWidth="1"/>
    <col min="4" max="4" width="37.6640625" customWidth="1"/>
  </cols>
  <sheetData>
    <row r="1" spans="3:4" ht="15.75" customHeight="1">
      <c r="D1" s="1"/>
    </row>
    <row r="2" spans="3:4" ht="15.75" customHeight="1">
      <c r="D2" s="1"/>
    </row>
    <row r="3" spans="3:4" ht="15.75" customHeight="1">
      <c r="D3" s="1"/>
    </row>
    <row r="4" spans="3:4" ht="15.75" customHeight="1">
      <c r="D4" s="1"/>
    </row>
    <row r="5" spans="3:4" ht="15.75" customHeight="1">
      <c r="D5" s="1"/>
    </row>
    <row r="6" spans="3:4" ht="15.75" customHeight="1">
      <c r="C6" s="4"/>
      <c r="D6" s="5" t="s">
        <v>4</v>
      </c>
    </row>
    <row r="7" spans="3:4" ht="15.75" customHeight="1">
      <c r="C7" s="6" t="s">
        <v>8</v>
      </c>
      <c r="D7" s="7" t="s">
        <v>10</v>
      </c>
    </row>
    <row r="8" spans="3:4" ht="15.75" customHeight="1">
      <c r="C8" s="6" t="s">
        <v>11</v>
      </c>
      <c r="D8" s="7" t="s">
        <v>12</v>
      </c>
    </row>
    <row r="9" spans="3:4" ht="15.75" customHeight="1">
      <c r="C9" s="6" t="s">
        <v>14</v>
      </c>
      <c r="D9" s="7" t="s">
        <v>15</v>
      </c>
    </row>
    <row r="10" spans="3:4" ht="15.75" customHeight="1">
      <c r="D10" s="1"/>
    </row>
    <row r="11" spans="3:4" ht="15.75" customHeight="1">
      <c r="D11" s="1"/>
    </row>
    <row r="12" spans="3:4" ht="15.75" customHeight="1">
      <c r="D12" s="1"/>
    </row>
    <row r="13" spans="3:4" ht="15.75" customHeight="1">
      <c r="D13" s="1"/>
    </row>
    <row r="14" spans="3:4" ht="15.75" customHeight="1">
      <c r="D14" s="1"/>
    </row>
    <row r="15" spans="3:4" ht="15.75" customHeight="1">
      <c r="D15" s="1"/>
    </row>
    <row r="16" spans="3:4" ht="15.75" customHeight="1">
      <c r="D16" s="1"/>
    </row>
    <row r="17" spans="4:4" ht="15.75" customHeight="1">
      <c r="D17" s="1"/>
    </row>
    <row r="18" spans="4:4" ht="15.75" customHeight="1">
      <c r="D18" s="1"/>
    </row>
    <row r="19" spans="4:4" ht="15.75" customHeight="1">
      <c r="D19" s="1"/>
    </row>
    <row r="20" spans="4:4" ht="15.75" customHeight="1">
      <c r="D20" s="1"/>
    </row>
    <row r="21" spans="4:4" ht="15.75" customHeight="1">
      <c r="D21" s="1"/>
    </row>
    <row r="22" spans="4:4" ht="15.75" customHeight="1">
      <c r="D22" s="1"/>
    </row>
    <row r="23" spans="4:4" ht="15.75" customHeight="1">
      <c r="D23" s="1"/>
    </row>
    <row r="24" spans="4:4" ht="15.75" customHeight="1">
      <c r="D24" s="1"/>
    </row>
    <row r="25" spans="4:4" ht="15.75" customHeight="1">
      <c r="D25" s="1"/>
    </row>
    <row r="26" spans="4:4" ht="15.75" customHeight="1">
      <c r="D26" s="1"/>
    </row>
    <row r="27" spans="4:4" ht="15.75" customHeight="1">
      <c r="D27" s="1"/>
    </row>
    <row r="28" spans="4:4" ht="15.75" customHeight="1">
      <c r="D28" s="1"/>
    </row>
    <row r="29" spans="4:4" ht="15.75" customHeight="1">
      <c r="D29" s="1"/>
    </row>
    <row r="30" spans="4:4" ht="15.75" customHeight="1">
      <c r="D30" s="1"/>
    </row>
    <row r="31" spans="4:4" ht="15.75" customHeight="1">
      <c r="D31" s="1"/>
    </row>
    <row r="32" spans="4:4" ht="15.75" customHeight="1">
      <c r="D32" s="1"/>
    </row>
    <row r="33" spans="4:4" ht="15.75" customHeight="1">
      <c r="D33" s="1"/>
    </row>
    <row r="34" spans="4:4" ht="15.75" customHeight="1">
      <c r="D34" s="1"/>
    </row>
    <row r="35" spans="4:4" ht="15.75" customHeight="1">
      <c r="D35" s="1"/>
    </row>
    <row r="36" spans="4:4" ht="15.75" customHeight="1">
      <c r="D36" s="1"/>
    </row>
    <row r="37" spans="4:4" ht="15.75" customHeight="1">
      <c r="D37" s="1"/>
    </row>
    <row r="38" spans="4:4" ht="15.75" customHeight="1">
      <c r="D38" s="1"/>
    </row>
    <row r="39" spans="4:4" ht="15.75" customHeight="1">
      <c r="D39" s="1"/>
    </row>
    <row r="40" spans="4:4" ht="15.75" customHeight="1">
      <c r="D40" s="1"/>
    </row>
    <row r="41" spans="4:4" ht="15.75" customHeight="1">
      <c r="D41" s="1"/>
    </row>
    <row r="42" spans="4:4" ht="15.75" customHeight="1">
      <c r="D42" s="1"/>
    </row>
    <row r="43" spans="4:4" ht="15.75" customHeight="1">
      <c r="D43" s="1"/>
    </row>
    <row r="44" spans="4:4" ht="15.75" customHeight="1">
      <c r="D44" s="1"/>
    </row>
    <row r="45" spans="4:4" ht="15.75" customHeight="1">
      <c r="D45" s="1"/>
    </row>
    <row r="46" spans="4:4" ht="15.75" customHeight="1">
      <c r="D46" s="1"/>
    </row>
    <row r="47" spans="4:4" ht="15.75" customHeight="1">
      <c r="D47" s="1"/>
    </row>
    <row r="48" spans="4:4" ht="15.75" customHeight="1">
      <c r="D48" s="1"/>
    </row>
    <row r="49" spans="4:4" ht="15.75" customHeight="1">
      <c r="D49" s="1"/>
    </row>
    <row r="50" spans="4:4" ht="15.75" customHeight="1">
      <c r="D50" s="1"/>
    </row>
    <row r="51" spans="4:4" ht="15.75" customHeight="1">
      <c r="D51" s="1"/>
    </row>
    <row r="52" spans="4:4" ht="15.75" customHeight="1">
      <c r="D52" s="1"/>
    </row>
    <row r="53" spans="4:4" ht="15.75" customHeight="1">
      <c r="D53" s="1"/>
    </row>
    <row r="54" spans="4:4" ht="15.75" customHeight="1">
      <c r="D54" s="1"/>
    </row>
    <row r="55" spans="4:4" ht="15.75" customHeight="1">
      <c r="D55" s="1"/>
    </row>
    <row r="56" spans="4:4" ht="15.75" customHeight="1">
      <c r="D56" s="1"/>
    </row>
    <row r="57" spans="4:4" ht="15.75" customHeight="1">
      <c r="D57" s="1"/>
    </row>
    <row r="58" spans="4:4" ht="15.75" customHeight="1">
      <c r="D58" s="1"/>
    </row>
    <row r="59" spans="4:4" ht="15.75" customHeight="1">
      <c r="D59" s="1"/>
    </row>
    <row r="60" spans="4:4" ht="15.75" customHeight="1">
      <c r="D60" s="1"/>
    </row>
    <row r="61" spans="4:4" ht="15.75" customHeight="1">
      <c r="D61" s="1"/>
    </row>
    <row r="62" spans="4:4" ht="15.75" customHeight="1">
      <c r="D62" s="1"/>
    </row>
    <row r="63" spans="4:4" ht="15.75" customHeight="1">
      <c r="D63" s="1"/>
    </row>
    <row r="64" spans="4:4" ht="15.75" customHeight="1">
      <c r="D64" s="1"/>
    </row>
    <row r="65" spans="4:4" ht="15.75" customHeight="1">
      <c r="D65" s="1"/>
    </row>
    <row r="66" spans="4:4" ht="15.75" customHeight="1">
      <c r="D66" s="1"/>
    </row>
    <row r="67" spans="4:4" ht="15.75" customHeight="1">
      <c r="D67" s="1"/>
    </row>
    <row r="68" spans="4:4" ht="15.75" customHeight="1">
      <c r="D68" s="1"/>
    </row>
    <row r="69" spans="4:4" ht="15.75" customHeight="1">
      <c r="D69" s="1"/>
    </row>
    <row r="70" spans="4:4" ht="15.75" customHeight="1">
      <c r="D70" s="1"/>
    </row>
    <row r="71" spans="4:4" ht="15.75" customHeight="1">
      <c r="D71" s="1"/>
    </row>
    <row r="72" spans="4:4" ht="15.75" customHeight="1">
      <c r="D72" s="1"/>
    </row>
    <row r="73" spans="4:4" ht="15.75" customHeight="1">
      <c r="D73" s="1"/>
    </row>
    <row r="74" spans="4:4" ht="15.75" customHeight="1">
      <c r="D74" s="1"/>
    </row>
    <row r="75" spans="4:4" ht="15.75" customHeight="1">
      <c r="D75" s="1"/>
    </row>
    <row r="76" spans="4:4" ht="15.75" customHeight="1">
      <c r="D76" s="1"/>
    </row>
    <row r="77" spans="4:4" ht="15.75" customHeight="1">
      <c r="D77" s="1"/>
    </row>
    <row r="78" spans="4:4" ht="15.75" customHeight="1">
      <c r="D78" s="1"/>
    </row>
    <row r="79" spans="4:4" ht="15.75" customHeight="1">
      <c r="D79" s="1"/>
    </row>
    <row r="80" spans="4:4" ht="13">
      <c r="D80" s="1"/>
    </row>
    <row r="81" spans="4:4" ht="13">
      <c r="D81" s="1"/>
    </row>
    <row r="82" spans="4:4" ht="13">
      <c r="D82" s="1"/>
    </row>
    <row r="83" spans="4:4" ht="13">
      <c r="D83" s="1"/>
    </row>
    <row r="84" spans="4:4" ht="13">
      <c r="D84" s="1"/>
    </row>
    <row r="85" spans="4:4" ht="13">
      <c r="D85" s="1"/>
    </row>
    <row r="86" spans="4:4" ht="13">
      <c r="D86" s="1"/>
    </row>
    <row r="87" spans="4:4" ht="13">
      <c r="D87" s="1"/>
    </row>
    <row r="88" spans="4:4" ht="13">
      <c r="D88" s="1"/>
    </row>
    <row r="89" spans="4:4" ht="13">
      <c r="D89" s="1"/>
    </row>
    <row r="90" spans="4:4" ht="13">
      <c r="D90" s="1"/>
    </row>
    <row r="91" spans="4:4" ht="13">
      <c r="D91" s="1"/>
    </row>
    <row r="92" spans="4:4" ht="13">
      <c r="D92" s="1"/>
    </row>
    <row r="93" spans="4:4" ht="13">
      <c r="D93" s="1"/>
    </row>
    <row r="94" spans="4:4" ht="13">
      <c r="D94" s="1"/>
    </row>
    <row r="95" spans="4:4" ht="13">
      <c r="D95" s="1"/>
    </row>
    <row r="96" spans="4:4" ht="13">
      <c r="D96" s="1"/>
    </row>
    <row r="97" spans="4:4" ht="13">
      <c r="D97" s="1"/>
    </row>
    <row r="98" spans="4:4" ht="13">
      <c r="D98" s="1"/>
    </row>
    <row r="99" spans="4:4" ht="13">
      <c r="D99" s="1"/>
    </row>
    <row r="100" spans="4:4" ht="13">
      <c r="D100" s="1"/>
    </row>
    <row r="101" spans="4:4" ht="13">
      <c r="D101" s="1"/>
    </row>
    <row r="102" spans="4:4" ht="13">
      <c r="D102" s="1"/>
    </row>
    <row r="103" spans="4:4" ht="13">
      <c r="D103" s="1"/>
    </row>
    <row r="104" spans="4:4" ht="13">
      <c r="D104" s="1"/>
    </row>
    <row r="105" spans="4:4" ht="13">
      <c r="D105" s="1"/>
    </row>
    <row r="106" spans="4:4" ht="13">
      <c r="D106" s="1"/>
    </row>
    <row r="107" spans="4:4" ht="13">
      <c r="D107" s="1"/>
    </row>
    <row r="108" spans="4:4" ht="13">
      <c r="D108" s="1"/>
    </row>
    <row r="109" spans="4:4" ht="13">
      <c r="D109" s="1"/>
    </row>
    <row r="110" spans="4:4" ht="13">
      <c r="D110" s="1"/>
    </row>
    <row r="111" spans="4:4" ht="13">
      <c r="D111" s="1"/>
    </row>
    <row r="112" spans="4:4" ht="13">
      <c r="D112" s="1"/>
    </row>
    <row r="113" spans="4:4" ht="13">
      <c r="D113" s="1"/>
    </row>
    <row r="114" spans="4:4" ht="13">
      <c r="D114" s="1"/>
    </row>
    <row r="115" spans="4:4" ht="13">
      <c r="D115" s="1"/>
    </row>
    <row r="116" spans="4:4" ht="13">
      <c r="D116" s="1"/>
    </row>
    <row r="117" spans="4:4" ht="13">
      <c r="D117" s="1"/>
    </row>
    <row r="118" spans="4:4" ht="13">
      <c r="D118" s="1"/>
    </row>
    <row r="119" spans="4:4" ht="13">
      <c r="D119" s="1"/>
    </row>
    <row r="120" spans="4:4" ht="13">
      <c r="D120" s="1"/>
    </row>
    <row r="121" spans="4:4" ht="13">
      <c r="D121" s="1"/>
    </row>
    <row r="122" spans="4:4" ht="13">
      <c r="D122" s="1"/>
    </row>
    <row r="123" spans="4:4" ht="13">
      <c r="D123" s="1"/>
    </row>
    <row r="124" spans="4:4" ht="13">
      <c r="D124" s="1"/>
    </row>
    <row r="125" spans="4:4" ht="13">
      <c r="D125" s="1"/>
    </row>
    <row r="126" spans="4:4" ht="13">
      <c r="D126" s="1"/>
    </row>
    <row r="127" spans="4:4" ht="13">
      <c r="D127" s="1"/>
    </row>
    <row r="128" spans="4:4" ht="13">
      <c r="D128" s="1"/>
    </row>
    <row r="129" spans="4:4" ht="13">
      <c r="D129" s="1"/>
    </row>
    <row r="130" spans="4:4" ht="13">
      <c r="D130" s="1"/>
    </row>
    <row r="131" spans="4:4" ht="13">
      <c r="D131" s="1"/>
    </row>
    <row r="132" spans="4:4" ht="13">
      <c r="D132" s="1"/>
    </row>
    <row r="133" spans="4:4" ht="13">
      <c r="D133" s="1"/>
    </row>
    <row r="134" spans="4:4" ht="13">
      <c r="D134" s="1"/>
    </row>
    <row r="135" spans="4:4" ht="13">
      <c r="D135" s="1"/>
    </row>
    <row r="136" spans="4:4" ht="13">
      <c r="D136" s="1"/>
    </row>
    <row r="137" spans="4:4" ht="13">
      <c r="D137" s="1"/>
    </row>
    <row r="138" spans="4:4" ht="13">
      <c r="D138" s="1"/>
    </row>
    <row r="139" spans="4:4" ht="13">
      <c r="D139" s="1"/>
    </row>
    <row r="140" spans="4:4" ht="13">
      <c r="D140" s="1"/>
    </row>
    <row r="141" spans="4:4" ht="13">
      <c r="D141" s="1"/>
    </row>
    <row r="142" spans="4:4" ht="13">
      <c r="D142" s="1"/>
    </row>
    <row r="143" spans="4:4" ht="13">
      <c r="D143" s="1"/>
    </row>
    <row r="144" spans="4:4" ht="13">
      <c r="D144" s="1"/>
    </row>
    <row r="145" spans="4:4" ht="13">
      <c r="D145" s="1"/>
    </row>
    <row r="146" spans="4:4" ht="13">
      <c r="D146" s="1"/>
    </row>
    <row r="147" spans="4:4" ht="13">
      <c r="D147" s="1"/>
    </row>
    <row r="148" spans="4:4" ht="13">
      <c r="D148" s="1"/>
    </row>
    <row r="149" spans="4:4" ht="13">
      <c r="D149" s="1"/>
    </row>
    <row r="150" spans="4:4" ht="13">
      <c r="D150" s="1"/>
    </row>
    <row r="151" spans="4:4" ht="13">
      <c r="D151" s="1"/>
    </row>
    <row r="152" spans="4:4" ht="13">
      <c r="D152" s="1"/>
    </row>
    <row r="153" spans="4:4" ht="13">
      <c r="D153" s="1"/>
    </row>
    <row r="154" spans="4:4" ht="13">
      <c r="D154" s="1"/>
    </row>
    <row r="155" spans="4:4" ht="13">
      <c r="D155" s="1"/>
    </row>
    <row r="156" spans="4:4" ht="13">
      <c r="D156" s="1"/>
    </row>
    <row r="157" spans="4:4" ht="13">
      <c r="D157" s="1"/>
    </row>
    <row r="158" spans="4:4" ht="13">
      <c r="D158" s="1"/>
    </row>
    <row r="159" spans="4:4" ht="13">
      <c r="D159" s="1"/>
    </row>
    <row r="160" spans="4:4" ht="13">
      <c r="D160" s="1"/>
    </row>
    <row r="161" spans="4:4" ht="13">
      <c r="D161" s="1"/>
    </row>
    <row r="162" spans="4:4" ht="13">
      <c r="D162" s="1"/>
    </row>
    <row r="163" spans="4:4" ht="13">
      <c r="D163" s="1"/>
    </row>
    <row r="164" spans="4:4" ht="13">
      <c r="D164" s="1"/>
    </row>
    <row r="165" spans="4:4" ht="13">
      <c r="D165" s="1"/>
    </row>
    <row r="166" spans="4:4" ht="13">
      <c r="D166" s="1"/>
    </row>
    <row r="167" spans="4:4" ht="13">
      <c r="D167" s="1"/>
    </row>
    <row r="168" spans="4:4" ht="13">
      <c r="D168" s="1"/>
    </row>
    <row r="169" spans="4:4" ht="13">
      <c r="D169" s="1"/>
    </row>
    <row r="170" spans="4:4" ht="13">
      <c r="D170" s="1"/>
    </row>
    <row r="171" spans="4:4" ht="13">
      <c r="D171" s="1"/>
    </row>
    <row r="172" spans="4:4" ht="13">
      <c r="D172" s="1"/>
    </row>
    <row r="173" spans="4:4" ht="13">
      <c r="D173" s="1"/>
    </row>
    <row r="174" spans="4:4" ht="13">
      <c r="D174" s="1"/>
    </row>
    <row r="175" spans="4:4" ht="13">
      <c r="D175" s="1"/>
    </row>
    <row r="176" spans="4:4" ht="13">
      <c r="D176" s="1"/>
    </row>
    <row r="177" spans="4:4" ht="13">
      <c r="D177" s="1"/>
    </row>
    <row r="178" spans="4:4" ht="13">
      <c r="D178" s="1"/>
    </row>
    <row r="179" spans="4:4" ht="13">
      <c r="D179" s="1"/>
    </row>
    <row r="180" spans="4:4" ht="13">
      <c r="D180" s="1"/>
    </row>
    <row r="181" spans="4:4" ht="13">
      <c r="D181" s="1"/>
    </row>
    <row r="182" spans="4:4" ht="13">
      <c r="D182" s="1"/>
    </row>
    <row r="183" spans="4:4" ht="13">
      <c r="D183" s="1"/>
    </row>
    <row r="184" spans="4:4" ht="13">
      <c r="D184" s="1"/>
    </row>
    <row r="185" spans="4:4" ht="13">
      <c r="D185" s="1"/>
    </row>
    <row r="186" spans="4:4" ht="13">
      <c r="D186" s="1"/>
    </row>
    <row r="187" spans="4:4" ht="13">
      <c r="D187" s="1"/>
    </row>
    <row r="188" spans="4:4" ht="13">
      <c r="D188" s="1"/>
    </row>
    <row r="189" spans="4:4" ht="13">
      <c r="D189" s="1"/>
    </row>
    <row r="190" spans="4:4" ht="13">
      <c r="D190" s="1"/>
    </row>
    <row r="191" spans="4:4" ht="13">
      <c r="D191" s="1"/>
    </row>
    <row r="192" spans="4:4" ht="13">
      <c r="D192" s="1"/>
    </row>
    <row r="193" spans="4:4" ht="13">
      <c r="D193" s="1"/>
    </row>
    <row r="194" spans="4:4" ht="13">
      <c r="D194" s="1"/>
    </row>
    <row r="195" spans="4:4" ht="13">
      <c r="D195" s="1"/>
    </row>
    <row r="196" spans="4:4" ht="13">
      <c r="D196" s="1"/>
    </row>
    <row r="197" spans="4:4" ht="13">
      <c r="D197" s="1"/>
    </row>
    <row r="198" spans="4:4" ht="13">
      <c r="D198" s="1"/>
    </row>
    <row r="199" spans="4:4" ht="13">
      <c r="D199" s="1"/>
    </row>
    <row r="200" spans="4:4" ht="13">
      <c r="D200" s="1"/>
    </row>
    <row r="201" spans="4:4" ht="13">
      <c r="D201" s="1"/>
    </row>
    <row r="202" spans="4:4" ht="13">
      <c r="D202" s="1"/>
    </row>
    <row r="203" spans="4:4" ht="13">
      <c r="D203" s="1"/>
    </row>
    <row r="204" spans="4:4" ht="13">
      <c r="D204" s="1"/>
    </row>
    <row r="205" spans="4:4" ht="13">
      <c r="D205" s="1"/>
    </row>
    <row r="206" spans="4:4" ht="13">
      <c r="D206" s="1"/>
    </row>
    <row r="207" spans="4:4" ht="13">
      <c r="D207" s="1"/>
    </row>
    <row r="208" spans="4:4" ht="13">
      <c r="D208" s="1"/>
    </row>
    <row r="209" spans="4:4" ht="13">
      <c r="D209" s="1"/>
    </row>
    <row r="210" spans="4:4" ht="13">
      <c r="D210" s="1"/>
    </row>
    <row r="211" spans="4:4" ht="13">
      <c r="D211" s="1"/>
    </row>
    <row r="212" spans="4:4" ht="13">
      <c r="D212" s="1"/>
    </row>
    <row r="213" spans="4:4" ht="13">
      <c r="D213" s="1"/>
    </row>
    <row r="214" spans="4:4" ht="13">
      <c r="D214" s="1"/>
    </row>
    <row r="215" spans="4:4" ht="13">
      <c r="D215" s="1"/>
    </row>
    <row r="216" spans="4:4" ht="13">
      <c r="D216" s="1"/>
    </row>
    <row r="217" spans="4:4" ht="13">
      <c r="D217" s="1"/>
    </row>
    <row r="218" spans="4:4" ht="13">
      <c r="D218" s="1"/>
    </row>
    <row r="219" spans="4:4" ht="13">
      <c r="D219" s="1"/>
    </row>
    <row r="220" spans="4:4" ht="13">
      <c r="D220" s="1"/>
    </row>
    <row r="221" spans="4:4" ht="13">
      <c r="D221" s="1"/>
    </row>
    <row r="222" spans="4:4" ht="13">
      <c r="D222" s="1"/>
    </row>
    <row r="223" spans="4:4" ht="13">
      <c r="D223" s="1"/>
    </row>
    <row r="224" spans="4:4" ht="13">
      <c r="D224" s="1"/>
    </row>
    <row r="225" spans="4:4" ht="13">
      <c r="D225" s="1"/>
    </row>
    <row r="226" spans="4:4" ht="13">
      <c r="D226" s="1"/>
    </row>
    <row r="227" spans="4:4" ht="13">
      <c r="D227" s="1"/>
    </row>
    <row r="228" spans="4:4" ht="13">
      <c r="D228" s="1"/>
    </row>
    <row r="229" spans="4:4" ht="13">
      <c r="D229" s="1"/>
    </row>
    <row r="230" spans="4:4" ht="13">
      <c r="D230" s="1"/>
    </row>
    <row r="231" spans="4:4" ht="13">
      <c r="D231" s="1"/>
    </row>
    <row r="232" spans="4:4" ht="13">
      <c r="D232" s="1"/>
    </row>
    <row r="233" spans="4:4" ht="13">
      <c r="D233" s="1"/>
    </row>
    <row r="234" spans="4:4" ht="13">
      <c r="D234" s="1"/>
    </row>
    <row r="235" spans="4:4" ht="13">
      <c r="D235" s="1"/>
    </row>
    <row r="236" spans="4:4" ht="13">
      <c r="D236" s="1"/>
    </row>
    <row r="237" spans="4:4" ht="13">
      <c r="D237" s="1"/>
    </row>
    <row r="238" spans="4:4" ht="13">
      <c r="D238" s="1"/>
    </row>
    <row r="239" spans="4:4" ht="13">
      <c r="D239" s="1"/>
    </row>
    <row r="240" spans="4:4" ht="13">
      <c r="D240" s="1"/>
    </row>
    <row r="241" spans="4:4" ht="13">
      <c r="D241" s="1"/>
    </row>
    <row r="242" spans="4:4" ht="13">
      <c r="D242" s="1"/>
    </row>
    <row r="243" spans="4:4" ht="13">
      <c r="D243" s="1"/>
    </row>
    <row r="244" spans="4:4" ht="13">
      <c r="D244" s="1"/>
    </row>
    <row r="245" spans="4:4" ht="13">
      <c r="D245" s="1"/>
    </row>
    <row r="246" spans="4:4" ht="13">
      <c r="D246" s="1"/>
    </row>
    <row r="247" spans="4:4" ht="13">
      <c r="D247" s="1"/>
    </row>
    <row r="248" spans="4:4" ht="13">
      <c r="D248" s="1"/>
    </row>
    <row r="249" spans="4:4" ht="13">
      <c r="D249" s="1"/>
    </row>
    <row r="250" spans="4:4" ht="13">
      <c r="D250" s="1"/>
    </row>
    <row r="251" spans="4:4" ht="13">
      <c r="D251" s="1"/>
    </row>
    <row r="252" spans="4:4" ht="13">
      <c r="D252" s="1"/>
    </row>
    <row r="253" spans="4:4" ht="13">
      <c r="D253" s="1"/>
    </row>
    <row r="254" spans="4:4" ht="13">
      <c r="D254" s="1"/>
    </row>
    <row r="255" spans="4:4" ht="13">
      <c r="D255" s="1"/>
    </row>
    <row r="256" spans="4:4" ht="13">
      <c r="D256" s="1"/>
    </row>
    <row r="257" spans="4:4" ht="13">
      <c r="D257" s="1"/>
    </row>
    <row r="258" spans="4:4" ht="13">
      <c r="D258" s="1"/>
    </row>
    <row r="259" spans="4:4" ht="13">
      <c r="D259" s="1"/>
    </row>
    <row r="260" spans="4:4" ht="13">
      <c r="D260" s="1"/>
    </row>
    <row r="261" spans="4:4" ht="13">
      <c r="D261" s="1"/>
    </row>
    <row r="262" spans="4:4" ht="13">
      <c r="D262" s="1"/>
    </row>
    <row r="263" spans="4:4" ht="13">
      <c r="D263" s="1"/>
    </row>
    <row r="264" spans="4:4" ht="13">
      <c r="D264" s="1"/>
    </row>
    <row r="265" spans="4:4" ht="13">
      <c r="D265" s="1"/>
    </row>
    <row r="266" spans="4:4" ht="13">
      <c r="D266" s="1"/>
    </row>
    <row r="267" spans="4:4" ht="13">
      <c r="D267" s="1"/>
    </row>
    <row r="268" spans="4:4" ht="13">
      <c r="D268" s="1"/>
    </row>
    <row r="269" spans="4:4" ht="13">
      <c r="D269" s="1"/>
    </row>
    <row r="270" spans="4:4" ht="13">
      <c r="D270" s="1"/>
    </row>
    <row r="271" spans="4:4" ht="13">
      <c r="D271" s="1"/>
    </row>
    <row r="272" spans="4:4" ht="13">
      <c r="D272" s="1"/>
    </row>
    <row r="273" spans="4:4" ht="13">
      <c r="D273" s="1"/>
    </row>
    <row r="274" spans="4:4" ht="13">
      <c r="D274" s="1"/>
    </row>
    <row r="275" spans="4:4" ht="13">
      <c r="D275" s="1"/>
    </row>
    <row r="276" spans="4:4" ht="13">
      <c r="D276" s="1"/>
    </row>
    <row r="277" spans="4:4" ht="13">
      <c r="D277" s="1"/>
    </row>
    <row r="278" spans="4:4" ht="13">
      <c r="D278" s="1"/>
    </row>
    <row r="279" spans="4:4" ht="13">
      <c r="D279" s="1"/>
    </row>
    <row r="280" spans="4:4" ht="13">
      <c r="D280" s="1"/>
    </row>
    <row r="281" spans="4:4" ht="13">
      <c r="D281" s="1"/>
    </row>
    <row r="282" spans="4:4" ht="13">
      <c r="D282" s="1"/>
    </row>
    <row r="283" spans="4:4" ht="13">
      <c r="D283" s="1"/>
    </row>
    <row r="284" spans="4:4" ht="13">
      <c r="D284" s="1"/>
    </row>
    <row r="285" spans="4:4" ht="13">
      <c r="D285" s="1"/>
    </row>
    <row r="286" spans="4:4" ht="13">
      <c r="D286" s="1"/>
    </row>
    <row r="287" spans="4:4" ht="13">
      <c r="D287" s="1"/>
    </row>
    <row r="288" spans="4:4" ht="13">
      <c r="D288" s="1"/>
    </row>
    <row r="289" spans="4:4" ht="13">
      <c r="D289" s="1"/>
    </row>
    <row r="290" spans="4:4" ht="13">
      <c r="D290" s="1"/>
    </row>
    <row r="291" spans="4:4" ht="13">
      <c r="D291" s="1"/>
    </row>
    <row r="292" spans="4:4" ht="13">
      <c r="D292" s="1"/>
    </row>
    <row r="293" spans="4:4" ht="13">
      <c r="D293" s="1"/>
    </row>
    <row r="294" spans="4:4" ht="13">
      <c r="D294" s="1"/>
    </row>
    <row r="295" spans="4:4" ht="13">
      <c r="D295" s="1"/>
    </row>
    <row r="296" spans="4:4" ht="13">
      <c r="D296" s="1"/>
    </row>
    <row r="297" spans="4:4" ht="13">
      <c r="D297" s="1"/>
    </row>
    <row r="298" spans="4:4" ht="13">
      <c r="D298" s="1"/>
    </row>
    <row r="299" spans="4:4" ht="13">
      <c r="D299" s="1"/>
    </row>
    <row r="300" spans="4:4" ht="13">
      <c r="D300" s="1"/>
    </row>
    <row r="301" spans="4:4" ht="13">
      <c r="D301" s="1"/>
    </row>
    <row r="302" spans="4:4" ht="13">
      <c r="D302" s="1"/>
    </row>
    <row r="303" spans="4:4" ht="13">
      <c r="D303" s="1"/>
    </row>
    <row r="304" spans="4:4" ht="13">
      <c r="D304" s="1"/>
    </row>
    <row r="305" spans="4:4" ht="13">
      <c r="D305" s="1"/>
    </row>
    <row r="306" spans="4:4" ht="13">
      <c r="D306" s="1"/>
    </row>
    <row r="307" spans="4:4" ht="13">
      <c r="D307" s="1"/>
    </row>
    <row r="308" spans="4:4" ht="13">
      <c r="D308" s="1"/>
    </row>
    <row r="309" spans="4:4" ht="13">
      <c r="D309" s="1"/>
    </row>
    <row r="310" spans="4:4" ht="13">
      <c r="D310" s="1"/>
    </row>
    <row r="311" spans="4:4" ht="13">
      <c r="D311" s="1"/>
    </row>
    <row r="312" spans="4:4" ht="13">
      <c r="D312" s="1"/>
    </row>
    <row r="313" spans="4:4" ht="13">
      <c r="D313" s="1"/>
    </row>
    <row r="314" spans="4:4" ht="13">
      <c r="D314" s="1"/>
    </row>
    <row r="315" spans="4:4" ht="13">
      <c r="D315" s="1"/>
    </row>
    <row r="316" spans="4:4" ht="13">
      <c r="D316" s="1"/>
    </row>
    <row r="317" spans="4:4" ht="13">
      <c r="D317" s="1"/>
    </row>
    <row r="318" spans="4:4" ht="13">
      <c r="D318" s="1"/>
    </row>
    <row r="319" spans="4:4" ht="13">
      <c r="D319" s="1"/>
    </row>
    <row r="320" spans="4:4" ht="13">
      <c r="D320" s="1"/>
    </row>
    <row r="321" spans="4:4" ht="13">
      <c r="D321" s="1"/>
    </row>
    <row r="322" spans="4:4" ht="13">
      <c r="D322" s="1"/>
    </row>
    <row r="323" spans="4:4" ht="13">
      <c r="D323" s="1"/>
    </row>
    <row r="324" spans="4:4" ht="13">
      <c r="D324" s="1"/>
    </row>
    <row r="325" spans="4:4" ht="13">
      <c r="D325" s="1"/>
    </row>
    <row r="326" spans="4:4" ht="13">
      <c r="D326" s="1"/>
    </row>
    <row r="327" spans="4:4" ht="13">
      <c r="D327" s="1"/>
    </row>
    <row r="328" spans="4:4" ht="13">
      <c r="D328" s="1"/>
    </row>
    <row r="329" spans="4:4" ht="13">
      <c r="D329" s="1"/>
    </row>
    <row r="330" spans="4:4" ht="13">
      <c r="D330" s="1"/>
    </row>
    <row r="331" spans="4:4" ht="13">
      <c r="D331" s="1"/>
    </row>
    <row r="332" spans="4:4" ht="13">
      <c r="D332" s="1"/>
    </row>
    <row r="333" spans="4:4" ht="13">
      <c r="D333" s="1"/>
    </row>
    <row r="334" spans="4:4" ht="13">
      <c r="D334" s="1"/>
    </row>
    <row r="335" spans="4:4" ht="13">
      <c r="D335" s="1"/>
    </row>
    <row r="336" spans="4:4" ht="13">
      <c r="D336" s="1"/>
    </row>
    <row r="337" spans="4:4" ht="13">
      <c r="D337" s="1"/>
    </row>
    <row r="338" spans="4:4" ht="13">
      <c r="D338" s="1"/>
    </row>
    <row r="339" spans="4:4" ht="13">
      <c r="D339" s="1"/>
    </row>
    <row r="340" spans="4:4" ht="13">
      <c r="D340" s="1"/>
    </row>
    <row r="341" spans="4:4" ht="13">
      <c r="D341" s="1"/>
    </row>
    <row r="342" spans="4:4" ht="13">
      <c r="D342" s="1"/>
    </row>
    <row r="343" spans="4:4" ht="13">
      <c r="D343" s="1"/>
    </row>
    <row r="344" spans="4:4" ht="13">
      <c r="D344" s="1"/>
    </row>
    <row r="345" spans="4:4" ht="13">
      <c r="D345" s="1"/>
    </row>
    <row r="346" spans="4:4" ht="13">
      <c r="D346" s="1"/>
    </row>
    <row r="347" spans="4:4" ht="13">
      <c r="D347" s="1"/>
    </row>
    <row r="348" spans="4:4" ht="13">
      <c r="D348" s="1"/>
    </row>
    <row r="349" spans="4:4" ht="13">
      <c r="D349" s="1"/>
    </row>
    <row r="350" spans="4:4" ht="13">
      <c r="D350" s="1"/>
    </row>
    <row r="351" spans="4:4" ht="13">
      <c r="D351" s="1"/>
    </row>
    <row r="352" spans="4:4" ht="13">
      <c r="D352" s="1"/>
    </row>
    <row r="353" spans="4:4" ht="13">
      <c r="D353" s="1"/>
    </row>
    <row r="354" spans="4:4" ht="13">
      <c r="D354" s="1"/>
    </row>
    <row r="355" spans="4:4" ht="13">
      <c r="D355" s="1"/>
    </row>
    <row r="356" spans="4:4" ht="13">
      <c r="D356" s="1"/>
    </row>
    <row r="357" spans="4:4" ht="13">
      <c r="D357" s="1"/>
    </row>
    <row r="358" spans="4:4" ht="13">
      <c r="D358" s="1"/>
    </row>
    <row r="359" spans="4:4" ht="13">
      <c r="D359" s="1"/>
    </row>
    <row r="360" spans="4:4" ht="13">
      <c r="D360" s="1"/>
    </row>
    <row r="361" spans="4:4" ht="13">
      <c r="D361" s="1"/>
    </row>
    <row r="362" spans="4:4" ht="13">
      <c r="D362" s="1"/>
    </row>
    <row r="363" spans="4:4" ht="13">
      <c r="D363" s="1"/>
    </row>
    <row r="364" spans="4:4" ht="13">
      <c r="D364" s="1"/>
    </row>
    <row r="365" spans="4:4" ht="13">
      <c r="D365" s="1"/>
    </row>
    <row r="366" spans="4:4" ht="13">
      <c r="D366" s="1"/>
    </row>
    <row r="367" spans="4:4" ht="13">
      <c r="D367" s="1"/>
    </row>
    <row r="368" spans="4:4" ht="13">
      <c r="D368" s="1"/>
    </row>
    <row r="369" spans="4:4" ht="13">
      <c r="D369" s="1"/>
    </row>
    <row r="370" spans="4:4" ht="13">
      <c r="D370" s="1"/>
    </row>
    <row r="371" spans="4:4" ht="13">
      <c r="D371" s="1"/>
    </row>
    <row r="372" spans="4:4" ht="13">
      <c r="D372" s="1"/>
    </row>
    <row r="373" spans="4:4" ht="13">
      <c r="D373" s="1"/>
    </row>
    <row r="374" spans="4:4" ht="13">
      <c r="D374" s="1"/>
    </row>
    <row r="375" spans="4:4" ht="13">
      <c r="D375" s="1"/>
    </row>
    <row r="376" spans="4:4" ht="13">
      <c r="D376" s="1"/>
    </row>
    <row r="377" spans="4:4" ht="13">
      <c r="D377" s="1"/>
    </row>
    <row r="378" spans="4:4" ht="13">
      <c r="D378" s="1"/>
    </row>
    <row r="379" spans="4:4" ht="13">
      <c r="D379" s="1"/>
    </row>
    <row r="380" spans="4:4" ht="13">
      <c r="D380" s="1"/>
    </row>
    <row r="381" spans="4:4" ht="13">
      <c r="D381" s="1"/>
    </row>
    <row r="382" spans="4:4" ht="13">
      <c r="D382" s="1"/>
    </row>
    <row r="383" spans="4:4" ht="13">
      <c r="D383" s="1"/>
    </row>
    <row r="384" spans="4:4" ht="13">
      <c r="D384" s="1"/>
    </row>
    <row r="385" spans="4:4" ht="13">
      <c r="D385" s="1"/>
    </row>
    <row r="386" spans="4:4" ht="13">
      <c r="D386" s="1"/>
    </row>
    <row r="387" spans="4:4" ht="13">
      <c r="D387" s="1"/>
    </row>
    <row r="388" spans="4:4" ht="13">
      <c r="D388" s="1"/>
    </row>
    <row r="389" spans="4:4" ht="13">
      <c r="D389" s="1"/>
    </row>
    <row r="390" spans="4:4" ht="13">
      <c r="D390" s="1"/>
    </row>
    <row r="391" spans="4:4" ht="13">
      <c r="D391" s="1"/>
    </row>
    <row r="392" spans="4:4" ht="13">
      <c r="D392" s="1"/>
    </row>
    <row r="393" spans="4:4" ht="13">
      <c r="D393" s="1"/>
    </row>
    <row r="394" spans="4:4" ht="13">
      <c r="D394" s="1"/>
    </row>
    <row r="395" spans="4:4" ht="13">
      <c r="D395" s="1"/>
    </row>
    <row r="396" spans="4:4" ht="13">
      <c r="D396" s="1"/>
    </row>
    <row r="397" spans="4:4" ht="13">
      <c r="D397" s="1"/>
    </row>
    <row r="398" spans="4:4" ht="13">
      <c r="D398" s="1"/>
    </row>
    <row r="399" spans="4:4" ht="13">
      <c r="D399" s="1"/>
    </row>
    <row r="400" spans="4:4" ht="13">
      <c r="D400" s="1"/>
    </row>
    <row r="401" spans="4:4" ht="13">
      <c r="D401" s="1"/>
    </row>
    <row r="402" spans="4:4" ht="13">
      <c r="D402" s="1"/>
    </row>
    <row r="403" spans="4:4" ht="13">
      <c r="D403" s="1"/>
    </row>
    <row r="404" spans="4:4" ht="13">
      <c r="D404" s="1"/>
    </row>
    <row r="405" spans="4:4" ht="13">
      <c r="D405" s="1"/>
    </row>
    <row r="406" spans="4:4" ht="13">
      <c r="D406" s="1"/>
    </row>
    <row r="407" spans="4:4" ht="13">
      <c r="D407" s="1"/>
    </row>
    <row r="408" spans="4:4" ht="13">
      <c r="D408" s="1"/>
    </row>
    <row r="409" spans="4:4" ht="13">
      <c r="D409" s="1"/>
    </row>
    <row r="410" spans="4:4" ht="13">
      <c r="D410" s="1"/>
    </row>
    <row r="411" spans="4:4" ht="13">
      <c r="D411" s="1"/>
    </row>
    <row r="412" spans="4:4" ht="13">
      <c r="D412" s="1"/>
    </row>
    <row r="413" spans="4:4" ht="13">
      <c r="D413" s="1"/>
    </row>
    <row r="414" spans="4:4" ht="13">
      <c r="D414" s="1"/>
    </row>
    <row r="415" spans="4:4" ht="13">
      <c r="D415" s="1"/>
    </row>
    <row r="416" spans="4:4" ht="13">
      <c r="D416" s="1"/>
    </row>
    <row r="417" spans="4:4" ht="13">
      <c r="D417" s="1"/>
    </row>
    <row r="418" spans="4:4" ht="13">
      <c r="D418" s="1"/>
    </row>
    <row r="419" spans="4:4" ht="13">
      <c r="D419" s="1"/>
    </row>
    <row r="420" spans="4:4" ht="13">
      <c r="D420" s="1"/>
    </row>
    <row r="421" spans="4:4" ht="13">
      <c r="D421" s="1"/>
    </row>
    <row r="422" spans="4:4" ht="13">
      <c r="D422" s="1"/>
    </row>
    <row r="423" spans="4:4" ht="13">
      <c r="D423" s="1"/>
    </row>
    <row r="424" spans="4:4" ht="13">
      <c r="D424" s="1"/>
    </row>
    <row r="425" spans="4:4" ht="13">
      <c r="D425" s="1"/>
    </row>
    <row r="426" spans="4:4" ht="13">
      <c r="D426" s="1"/>
    </row>
    <row r="427" spans="4:4" ht="13">
      <c r="D427" s="1"/>
    </row>
    <row r="428" spans="4:4" ht="13">
      <c r="D428" s="1"/>
    </row>
    <row r="429" spans="4:4" ht="13">
      <c r="D429" s="1"/>
    </row>
    <row r="430" spans="4:4" ht="13">
      <c r="D430" s="1"/>
    </row>
    <row r="431" spans="4:4" ht="13">
      <c r="D431" s="1"/>
    </row>
    <row r="432" spans="4:4" ht="13">
      <c r="D432" s="1"/>
    </row>
    <row r="433" spans="4:4" ht="13">
      <c r="D433" s="1"/>
    </row>
    <row r="434" spans="4:4" ht="13">
      <c r="D434" s="1"/>
    </row>
    <row r="435" spans="4:4" ht="13">
      <c r="D435" s="1"/>
    </row>
    <row r="436" spans="4:4" ht="13">
      <c r="D436" s="1"/>
    </row>
    <row r="437" spans="4:4" ht="13">
      <c r="D437" s="1"/>
    </row>
    <row r="438" spans="4:4" ht="13">
      <c r="D438" s="1"/>
    </row>
    <row r="439" spans="4:4" ht="13">
      <c r="D439" s="1"/>
    </row>
    <row r="440" spans="4:4" ht="13">
      <c r="D440" s="1"/>
    </row>
    <row r="441" spans="4:4" ht="13">
      <c r="D441" s="1"/>
    </row>
    <row r="442" spans="4:4" ht="13">
      <c r="D442" s="1"/>
    </row>
    <row r="443" spans="4:4" ht="13">
      <c r="D443" s="1"/>
    </row>
    <row r="444" spans="4:4" ht="13">
      <c r="D444" s="1"/>
    </row>
    <row r="445" spans="4:4" ht="13">
      <c r="D445" s="1"/>
    </row>
    <row r="446" spans="4:4" ht="13">
      <c r="D446" s="1"/>
    </row>
    <row r="447" spans="4:4" ht="13">
      <c r="D447" s="1"/>
    </row>
    <row r="448" spans="4:4" ht="13">
      <c r="D448" s="1"/>
    </row>
    <row r="449" spans="4:4" ht="13">
      <c r="D449" s="1"/>
    </row>
    <row r="450" spans="4:4" ht="13">
      <c r="D450" s="1"/>
    </row>
    <row r="451" spans="4:4" ht="13">
      <c r="D451" s="1"/>
    </row>
    <row r="452" spans="4:4" ht="13">
      <c r="D452" s="1"/>
    </row>
    <row r="453" spans="4:4" ht="13">
      <c r="D453" s="1"/>
    </row>
    <row r="454" spans="4:4" ht="13">
      <c r="D454" s="1"/>
    </row>
    <row r="455" spans="4:4" ht="13">
      <c r="D455" s="1"/>
    </row>
    <row r="456" spans="4:4" ht="13">
      <c r="D456" s="1"/>
    </row>
    <row r="457" spans="4:4" ht="13">
      <c r="D457" s="1"/>
    </row>
    <row r="458" spans="4:4" ht="13">
      <c r="D458" s="1"/>
    </row>
    <row r="459" spans="4:4" ht="13">
      <c r="D459" s="1"/>
    </row>
    <row r="460" spans="4:4" ht="13">
      <c r="D460" s="1"/>
    </row>
    <row r="461" spans="4:4" ht="13">
      <c r="D461" s="1"/>
    </row>
    <row r="462" spans="4:4" ht="13">
      <c r="D462" s="1"/>
    </row>
    <row r="463" spans="4:4" ht="13">
      <c r="D463" s="1"/>
    </row>
    <row r="464" spans="4:4" ht="13">
      <c r="D464" s="1"/>
    </row>
    <row r="465" spans="4:4" ht="13">
      <c r="D465" s="1"/>
    </row>
    <row r="466" spans="4:4" ht="13">
      <c r="D466" s="1"/>
    </row>
    <row r="467" spans="4:4" ht="13">
      <c r="D467" s="1"/>
    </row>
    <row r="468" spans="4:4" ht="13">
      <c r="D468" s="1"/>
    </row>
    <row r="469" spans="4:4" ht="13">
      <c r="D469" s="1"/>
    </row>
    <row r="470" spans="4:4" ht="13">
      <c r="D470" s="1"/>
    </row>
    <row r="471" spans="4:4" ht="13">
      <c r="D471" s="1"/>
    </row>
    <row r="472" spans="4:4" ht="13">
      <c r="D472" s="1"/>
    </row>
    <row r="473" spans="4:4" ht="13">
      <c r="D473" s="1"/>
    </row>
    <row r="474" spans="4:4" ht="13">
      <c r="D474" s="1"/>
    </row>
    <row r="475" spans="4:4" ht="13">
      <c r="D475" s="1"/>
    </row>
    <row r="476" spans="4:4" ht="13">
      <c r="D476" s="1"/>
    </row>
    <row r="477" spans="4:4" ht="13">
      <c r="D477" s="1"/>
    </row>
    <row r="478" spans="4:4" ht="13">
      <c r="D478" s="1"/>
    </row>
    <row r="479" spans="4:4" ht="13">
      <c r="D479" s="1"/>
    </row>
    <row r="480" spans="4:4" ht="13">
      <c r="D480" s="1"/>
    </row>
    <row r="481" spans="4:4" ht="13">
      <c r="D481" s="1"/>
    </row>
    <row r="482" spans="4:4" ht="13">
      <c r="D482" s="1"/>
    </row>
    <row r="483" spans="4:4" ht="13">
      <c r="D483" s="1"/>
    </row>
    <row r="484" spans="4:4" ht="13">
      <c r="D484" s="1"/>
    </row>
    <row r="485" spans="4:4" ht="13">
      <c r="D485" s="1"/>
    </row>
    <row r="486" spans="4:4" ht="13">
      <c r="D486" s="1"/>
    </row>
    <row r="487" spans="4:4" ht="13">
      <c r="D487" s="1"/>
    </row>
    <row r="488" spans="4:4" ht="13">
      <c r="D488" s="1"/>
    </row>
    <row r="489" spans="4:4" ht="13">
      <c r="D489" s="1"/>
    </row>
    <row r="490" spans="4:4" ht="13">
      <c r="D490" s="1"/>
    </row>
    <row r="491" spans="4:4" ht="13">
      <c r="D491" s="1"/>
    </row>
    <row r="492" spans="4:4" ht="13">
      <c r="D492" s="1"/>
    </row>
    <row r="493" spans="4:4" ht="13">
      <c r="D493" s="1"/>
    </row>
    <row r="494" spans="4:4" ht="13">
      <c r="D494" s="1"/>
    </row>
    <row r="495" spans="4:4" ht="13">
      <c r="D495" s="1"/>
    </row>
    <row r="496" spans="4:4" ht="13">
      <c r="D496" s="1"/>
    </row>
    <row r="497" spans="4:4" ht="13">
      <c r="D497" s="1"/>
    </row>
    <row r="498" spans="4:4" ht="13">
      <c r="D498" s="1"/>
    </row>
    <row r="499" spans="4:4" ht="13">
      <c r="D499" s="1"/>
    </row>
    <row r="500" spans="4:4" ht="13">
      <c r="D500" s="1"/>
    </row>
    <row r="501" spans="4:4" ht="13">
      <c r="D501" s="1"/>
    </row>
    <row r="502" spans="4:4" ht="13">
      <c r="D502" s="1"/>
    </row>
    <row r="503" spans="4:4" ht="13">
      <c r="D503" s="1"/>
    </row>
    <row r="504" spans="4:4" ht="13">
      <c r="D504" s="1"/>
    </row>
    <row r="505" spans="4:4" ht="13">
      <c r="D505" s="1"/>
    </row>
    <row r="506" spans="4:4" ht="13">
      <c r="D506" s="1"/>
    </row>
    <row r="507" spans="4:4" ht="13">
      <c r="D507" s="1"/>
    </row>
    <row r="508" spans="4:4" ht="13">
      <c r="D508" s="1"/>
    </row>
    <row r="509" spans="4:4" ht="13">
      <c r="D509" s="1"/>
    </row>
    <row r="510" spans="4:4" ht="13">
      <c r="D510" s="1"/>
    </row>
    <row r="511" spans="4:4" ht="13">
      <c r="D511" s="1"/>
    </row>
    <row r="512" spans="4:4" ht="13">
      <c r="D512" s="1"/>
    </row>
    <row r="513" spans="4:4" ht="13">
      <c r="D513" s="1"/>
    </row>
    <row r="514" spans="4:4" ht="13">
      <c r="D514" s="1"/>
    </row>
    <row r="515" spans="4:4" ht="13">
      <c r="D515" s="1"/>
    </row>
    <row r="516" spans="4:4" ht="13">
      <c r="D516" s="1"/>
    </row>
    <row r="517" spans="4:4" ht="13">
      <c r="D517" s="1"/>
    </row>
    <row r="518" spans="4:4" ht="13">
      <c r="D518" s="1"/>
    </row>
    <row r="519" spans="4:4" ht="13">
      <c r="D519" s="1"/>
    </row>
    <row r="520" spans="4:4" ht="13">
      <c r="D520" s="1"/>
    </row>
    <row r="521" spans="4:4" ht="13">
      <c r="D521" s="1"/>
    </row>
    <row r="522" spans="4:4" ht="13">
      <c r="D522" s="1"/>
    </row>
    <row r="523" spans="4:4" ht="13">
      <c r="D523" s="1"/>
    </row>
    <row r="524" spans="4:4" ht="13">
      <c r="D524" s="1"/>
    </row>
    <row r="525" spans="4:4" ht="13">
      <c r="D525" s="1"/>
    </row>
    <row r="526" spans="4:4" ht="13">
      <c r="D526" s="1"/>
    </row>
    <row r="527" spans="4:4" ht="13">
      <c r="D527" s="1"/>
    </row>
    <row r="528" spans="4:4" ht="13">
      <c r="D528" s="1"/>
    </row>
    <row r="529" spans="4:4" ht="13">
      <c r="D529" s="1"/>
    </row>
    <row r="530" spans="4:4" ht="13">
      <c r="D530" s="1"/>
    </row>
    <row r="531" spans="4:4" ht="13">
      <c r="D531" s="1"/>
    </row>
    <row r="532" spans="4:4" ht="13">
      <c r="D532" s="1"/>
    </row>
    <row r="533" spans="4:4" ht="13">
      <c r="D533" s="1"/>
    </row>
    <row r="534" spans="4:4" ht="13">
      <c r="D534" s="1"/>
    </row>
    <row r="535" spans="4:4" ht="13">
      <c r="D535" s="1"/>
    </row>
    <row r="536" spans="4:4" ht="13">
      <c r="D536" s="1"/>
    </row>
    <row r="537" spans="4:4" ht="13">
      <c r="D537" s="1"/>
    </row>
    <row r="538" spans="4:4" ht="13">
      <c r="D538" s="1"/>
    </row>
    <row r="539" spans="4:4" ht="13">
      <c r="D539" s="1"/>
    </row>
    <row r="540" spans="4:4" ht="13">
      <c r="D540" s="1"/>
    </row>
    <row r="541" spans="4:4" ht="13">
      <c r="D541" s="1"/>
    </row>
    <row r="542" spans="4:4" ht="13">
      <c r="D542" s="1"/>
    </row>
    <row r="543" spans="4:4" ht="13">
      <c r="D543" s="1"/>
    </row>
    <row r="544" spans="4:4" ht="13">
      <c r="D544" s="1"/>
    </row>
    <row r="545" spans="4:4" ht="13">
      <c r="D545" s="1"/>
    </row>
    <row r="546" spans="4:4" ht="13">
      <c r="D546" s="1"/>
    </row>
    <row r="547" spans="4:4" ht="13">
      <c r="D547" s="1"/>
    </row>
    <row r="548" spans="4:4" ht="13">
      <c r="D548" s="1"/>
    </row>
    <row r="549" spans="4:4" ht="13">
      <c r="D549" s="1"/>
    </row>
    <row r="550" spans="4:4" ht="13">
      <c r="D550" s="1"/>
    </row>
    <row r="551" spans="4:4" ht="13">
      <c r="D551" s="1"/>
    </row>
    <row r="552" spans="4:4" ht="13">
      <c r="D552" s="1"/>
    </row>
    <row r="553" spans="4:4" ht="13">
      <c r="D553" s="1"/>
    </row>
    <row r="554" spans="4:4" ht="13">
      <c r="D554" s="1"/>
    </row>
    <row r="555" spans="4:4" ht="13">
      <c r="D555" s="1"/>
    </row>
    <row r="556" spans="4:4" ht="13">
      <c r="D556" s="1"/>
    </row>
    <row r="557" spans="4:4" ht="13">
      <c r="D557" s="1"/>
    </row>
    <row r="558" spans="4:4" ht="13">
      <c r="D558" s="1"/>
    </row>
    <row r="559" spans="4:4" ht="13">
      <c r="D559" s="1"/>
    </row>
    <row r="560" spans="4:4" ht="13">
      <c r="D560" s="1"/>
    </row>
    <row r="561" spans="4:4" ht="13">
      <c r="D561" s="1"/>
    </row>
    <row r="562" spans="4:4" ht="13">
      <c r="D562" s="1"/>
    </row>
    <row r="563" spans="4:4" ht="13">
      <c r="D563" s="1"/>
    </row>
    <row r="564" spans="4:4" ht="13">
      <c r="D564" s="1"/>
    </row>
    <row r="565" spans="4:4" ht="13">
      <c r="D565" s="1"/>
    </row>
    <row r="566" spans="4:4" ht="13">
      <c r="D566" s="1"/>
    </row>
    <row r="567" spans="4:4" ht="13">
      <c r="D567" s="1"/>
    </row>
    <row r="568" spans="4:4" ht="13">
      <c r="D568" s="1"/>
    </row>
    <row r="569" spans="4:4" ht="13">
      <c r="D569" s="1"/>
    </row>
    <row r="570" spans="4:4" ht="13">
      <c r="D570" s="1"/>
    </row>
    <row r="571" spans="4:4" ht="13">
      <c r="D571" s="1"/>
    </row>
    <row r="572" spans="4:4" ht="13">
      <c r="D572" s="1"/>
    </row>
    <row r="573" spans="4:4" ht="13">
      <c r="D573" s="1"/>
    </row>
    <row r="574" spans="4:4" ht="13">
      <c r="D574" s="1"/>
    </row>
    <row r="575" spans="4:4" ht="13">
      <c r="D575" s="1"/>
    </row>
    <row r="576" spans="4:4" ht="13">
      <c r="D576" s="1"/>
    </row>
    <row r="577" spans="4:4" ht="13">
      <c r="D577" s="1"/>
    </row>
    <row r="578" spans="4:4" ht="13">
      <c r="D578" s="1"/>
    </row>
    <row r="579" spans="4:4" ht="13">
      <c r="D579" s="1"/>
    </row>
    <row r="580" spans="4:4" ht="13">
      <c r="D580" s="1"/>
    </row>
    <row r="581" spans="4:4" ht="13">
      <c r="D581" s="1"/>
    </row>
    <row r="582" spans="4:4" ht="13">
      <c r="D582" s="1"/>
    </row>
    <row r="583" spans="4:4" ht="13">
      <c r="D583" s="1"/>
    </row>
    <row r="584" spans="4:4" ht="13">
      <c r="D584" s="1"/>
    </row>
    <row r="585" spans="4:4" ht="13">
      <c r="D585" s="1"/>
    </row>
    <row r="586" spans="4:4" ht="13">
      <c r="D586" s="1"/>
    </row>
    <row r="587" spans="4:4" ht="13">
      <c r="D587" s="1"/>
    </row>
    <row r="588" spans="4:4" ht="13">
      <c r="D588" s="1"/>
    </row>
    <row r="589" spans="4:4" ht="13">
      <c r="D589" s="1"/>
    </row>
    <row r="590" spans="4:4" ht="13">
      <c r="D590" s="1"/>
    </row>
    <row r="591" spans="4:4" ht="13">
      <c r="D591" s="1"/>
    </row>
    <row r="592" spans="4:4" ht="13">
      <c r="D592" s="1"/>
    </row>
    <row r="593" spans="4:4" ht="13">
      <c r="D593" s="1"/>
    </row>
    <row r="594" spans="4:4" ht="13">
      <c r="D594" s="1"/>
    </row>
    <row r="595" spans="4:4" ht="13">
      <c r="D595" s="1"/>
    </row>
    <row r="596" spans="4:4" ht="13">
      <c r="D596" s="1"/>
    </row>
    <row r="597" spans="4:4" ht="13">
      <c r="D597" s="1"/>
    </row>
    <row r="598" spans="4:4" ht="13">
      <c r="D598" s="1"/>
    </row>
    <row r="599" spans="4:4" ht="13">
      <c r="D599" s="1"/>
    </row>
    <row r="600" spans="4:4" ht="13">
      <c r="D600" s="1"/>
    </row>
    <row r="601" spans="4:4" ht="13">
      <c r="D601" s="1"/>
    </row>
    <row r="602" spans="4:4" ht="13">
      <c r="D602" s="1"/>
    </row>
    <row r="603" spans="4:4" ht="13">
      <c r="D603" s="1"/>
    </row>
    <row r="604" spans="4:4" ht="13">
      <c r="D604" s="1"/>
    </row>
    <row r="605" spans="4:4" ht="13">
      <c r="D605" s="1"/>
    </row>
    <row r="606" spans="4:4" ht="13">
      <c r="D606" s="1"/>
    </row>
    <row r="607" spans="4:4" ht="13">
      <c r="D607" s="1"/>
    </row>
    <row r="608" spans="4:4" ht="13">
      <c r="D608" s="1"/>
    </row>
    <row r="609" spans="4:4" ht="13">
      <c r="D609" s="1"/>
    </row>
    <row r="610" spans="4:4" ht="13">
      <c r="D610" s="1"/>
    </row>
    <row r="611" spans="4:4" ht="13">
      <c r="D611" s="1"/>
    </row>
    <row r="612" spans="4:4" ht="13">
      <c r="D612" s="1"/>
    </row>
    <row r="613" spans="4:4" ht="13">
      <c r="D613" s="1"/>
    </row>
    <row r="614" spans="4:4" ht="13">
      <c r="D614" s="1"/>
    </row>
    <row r="615" spans="4:4" ht="13">
      <c r="D615" s="1"/>
    </row>
    <row r="616" spans="4:4" ht="13">
      <c r="D616" s="1"/>
    </row>
    <row r="617" spans="4:4" ht="13">
      <c r="D617" s="1"/>
    </row>
    <row r="618" spans="4:4" ht="13">
      <c r="D618" s="1"/>
    </row>
    <row r="619" spans="4:4" ht="13">
      <c r="D619" s="1"/>
    </row>
    <row r="620" spans="4:4" ht="13">
      <c r="D620" s="1"/>
    </row>
    <row r="621" spans="4:4" ht="13">
      <c r="D621" s="1"/>
    </row>
    <row r="622" spans="4:4" ht="13">
      <c r="D622" s="1"/>
    </row>
    <row r="623" spans="4:4" ht="13">
      <c r="D623" s="1"/>
    </row>
    <row r="624" spans="4:4" ht="13">
      <c r="D624" s="1"/>
    </row>
    <row r="625" spans="4:4" ht="13">
      <c r="D625" s="1"/>
    </row>
    <row r="626" spans="4:4" ht="13">
      <c r="D626" s="1"/>
    </row>
    <row r="627" spans="4:4" ht="13">
      <c r="D627" s="1"/>
    </row>
    <row r="628" spans="4:4" ht="13">
      <c r="D628" s="1"/>
    </row>
    <row r="629" spans="4:4" ht="13">
      <c r="D629" s="1"/>
    </row>
    <row r="630" spans="4:4" ht="13">
      <c r="D630" s="1"/>
    </row>
    <row r="631" spans="4:4" ht="13">
      <c r="D631" s="1"/>
    </row>
    <row r="632" spans="4:4" ht="13">
      <c r="D632" s="1"/>
    </row>
    <row r="633" spans="4:4" ht="13">
      <c r="D633" s="1"/>
    </row>
    <row r="634" spans="4:4" ht="13">
      <c r="D634" s="1"/>
    </row>
    <row r="635" spans="4:4" ht="13">
      <c r="D635" s="1"/>
    </row>
    <row r="636" spans="4:4" ht="13">
      <c r="D636" s="1"/>
    </row>
    <row r="637" spans="4:4" ht="13">
      <c r="D637" s="1"/>
    </row>
    <row r="638" spans="4:4" ht="13">
      <c r="D638" s="1"/>
    </row>
    <row r="639" spans="4:4" ht="13">
      <c r="D639" s="1"/>
    </row>
    <row r="640" spans="4:4" ht="13">
      <c r="D640" s="1"/>
    </row>
    <row r="641" spans="4:4" ht="13">
      <c r="D641" s="1"/>
    </row>
    <row r="642" spans="4:4" ht="13">
      <c r="D642" s="1"/>
    </row>
    <row r="643" spans="4:4" ht="13">
      <c r="D643" s="1"/>
    </row>
    <row r="644" spans="4:4" ht="13">
      <c r="D644" s="1"/>
    </row>
    <row r="645" spans="4:4" ht="13">
      <c r="D645" s="1"/>
    </row>
    <row r="646" spans="4:4" ht="13">
      <c r="D646" s="1"/>
    </row>
    <row r="647" spans="4:4" ht="13">
      <c r="D647" s="1"/>
    </row>
    <row r="648" spans="4:4" ht="13">
      <c r="D648" s="1"/>
    </row>
    <row r="649" spans="4:4" ht="13">
      <c r="D649" s="1"/>
    </row>
    <row r="650" spans="4:4" ht="13">
      <c r="D650" s="1"/>
    </row>
    <row r="651" spans="4:4" ht="13">
      <c r="D651" s="1"/>
    </row>
    <row r="652" spans="4:4" ht="13">
      <c r="D652" s="1"/>
    </row>
    <row r="653" spans="4:4" ht="13">
      <c r="D653" s="1"/>
    </row>
    <row r="654" spans="4:4" ht="13">
      <c r="D654" s="1"/>
    </row>
    <row r="655" spans="4:4" ht="13">
      <c r="D655" s="1"/>
    </row>
    <row r="656" spans="4:4" ht="13">
      <c r="D656" s="1"/>
    </row>
    <row r="657" spans="4:4" ht="13">
      <c r="D657" s="1"/>
    </row>
    <row r="658" spans="4:4" ht="13">
      <c r="D658" s="1"/>
    </row>
    <row r="659" spans="4:4" ht="13">
      <c r="D659" s="1"/>
    </row>
    <row r="660" spans="4:4" ht="13">
      <c r="D660" s="1"/>
    </row>
    <row r="661" spans="4:4" ht="13">
      <c r="D661" s="1"/>
    </row>
    <row r="662" spans="4:4" ht="13">
      <c r="D662" s="1"/>
    </row>
    <row r="663" spans="4:4" ht="13">
      <c r="D663" s="1"/>
    </row>
    <row r="664" spans="4:4" ht="13">
      <c r="D664" s="1"/>
    </row>
    <row r="665" spans="4:4" ht="13">
      <c r="D665" s="1"/>
    </row>
    <row r="666" spans="4:4" ht="13">
      <c r="D666" s="1"/>
    </row>
    <row r="667" spans="4:4" ht="13">
      <c r="D667" s="1"/>
    </row>
    <row r="668" spans="4:4" ht="13">
      <c r="D668" s="1"/>
    </row>
    <row r="669" spans="4:4" ht="13">
      <c r="D669" s="1"/>
    </row>
    <row r="670" spans="4:4" ht="13">
      <c r="D670" s="1"/>
    </row>
    <row r="671" spans="4:4" ht="13">
      <c r="D671" s="1"/>
    </row>
    <row r="672" spans="4:4" ht="13">
      <c r="D672" s="1"/>
    </row>
    <row r="673" spans="4:4" ht="13">
      <c r="D673" s="1"/>
    </row>
    <row r="674" spans="4:4" ht="13">
      <c r="D674" s="1"/>
    </row>
    <row r="675" spans="4:4" ht="13">
      <c r="D675" s="1"/>
    </row>
    <row r="676" spans="4:4" ht="13">
      <c r="D676" s="1"/>
    </row>
    <row r="677" spans="4:4" ht="13">
      <c r="D677" s="1"/>
    </row>
    <row r="678" spans="4:4" ht="13">
      <c r="D678" s="1"/>
    </row>
    <row r="679" spans="4:4" ht="13">
      <c r="D679" s="1"/>
    </row>
    <row r="680" spans="4:4" ht="13">
      <c r="D680" s="1"/>
    </row>
    <row r="681" spans="4:4" ht="13">
      <c r="D681" s="1"/>
    </row>
    <row r="682" spans="4:4" ht="13">
      <c r="D682" s="1"/>
    </row>
    <row r="683" spans="4:4" ht="13">
      <c r="D683" s="1"/>
    </row>
    <row r="684" spans="4:4" ht="13">
      <c r="D684" s="1"/>
    </row>
    <row r="685" spans="4:4" ht="13">
      <c r="D685" s="1"/>
    </row>
    <row r="686" spans="4:4" ht="13">
      <c r="D686" s="1"/>
    </row>
    <row r="687" spans="4:4" ht="13">
      <c r="D687" s="1"/>
    </row>
    <row r="688" spans="4:4" ht="13">
      <c r="D688" s="1"/>
    </row>
    <row r="689" spans="4:4" ht="13">
      <c r="D689" s="1"/>
    </row>
    <row r="690" spans="4:4" ht="13">
      <c r="D690" s="1"/>
    </row>
    <row r="691" spans="4:4" ht="13">
      <c r="D691" s="1"/>
    </row>
    <row r="692" spans="4:4" ht="13">
      <c r="D692" s="1"/>
    </row>
    <row r="693" spans="4:4" ht="13">
      <c r="D693" s="1"/>
    </row>
    <row r="694" spans="4:4" ht="13">
      <c r="D694" s="1"/>
    </row>
    <row r="695" spans="4:4" ht="13">
      <c r="D695" s="1"/>
    </row>
    <row r="696" spans="4:4" ht="13">
      <c r="D696" s="1"/>
    </row>
    <row r="697" spans="4:4" ht="13">
      <c r="D697" s="1"/>
    </row>
    <row r="698" spans="4:4" ht="13">
      <c r="D698" s="1"/>
    </row>
    <row r="699" spans="4:4" ht="13">
      <c r="D699" s="1"/>
    </row>
    <row r="700" spans="4:4" ht="13">
      <c r="D700" s="1"/>
    </row>
    <row r="701" spans="4:4" ht="13">
      <c r="D701" s="1"/>
    </row>
    <row r="702" spans="4:4" ht="13">
      <c r="D702" s="1"/>
    </row>
    <row r="703" spans="4:4" ht="13">
      <c r="D703" s="1"/>
    </row>
    <row r="704" spans="4:4" ht="13">
      <c r="D704" s="1"/>
    </row>
    <row r="705" spans="4:4" ht="13">
      <c r="D705" s="1"/>
    </row>
    <row r="706" spans="4:4" ht="13">
      <c r="D706" s="1"/>
    </row>
    <row r="707" spans="4:4" ht="13">
      <c r="D707" s="1"/>
    </row>
    <row r="708" spans="4:4" ht="13">
      <c r="D708" s="1"/>
    </row>
    <row r="709" spans="4:4" ht="13">
      <c r="D709" s="1"/>
    </row>
    <row r="710" spans="4:4" ht="13">
      <c r="D710" s="1"/>
    </row>
    <row r="711" spans="4:4" ht="13">
      <c r="D711" s="1"/>
    </row>
    <row r="712" spans="4:4" ht="13">
      <c r="D712" s="1"/>
    </row>
    <row r="713" spans="4:4" ht="13">
      <c r="D713" s="1"/>
    </row>
    <row r="714" spans="4:4" ht="13">
      <c r="D714" s="1"/>
    </row>
    <row r="715" spans="4:4" ht="13">
      <c r="D715" s="1"/>
    </row>
    <row r="716" spans="4:4" ht="13">
      <c r="D716" s="1"/>
    </row>
    <row r="717" spans="4:4" ht="13">
      <c r="D717" s="1"/>
    </row>
    <row r="718" spans="4:4" ht="13">
      <c r="D718" s="1"/>
    </row>
    <row r="719" spans="4:4" ht="13">
      <c r="D719" s="1"/>
    </row>
    <row r="720" spans="4:4" ht="13">
      <c r="D720" s="1"/>
    </row>
    <row r="721" spans="4:4" ht="13">
      <c r="D721" s="1"/>
    </row>
    <row r="722" spans="4:4" ht="13">
      <c r="D722" s="1"/>
    </row>
    <row r="723" spans="4:4" ht="13">
      <c r="D723" s="1"/>
    </row>
    <row r="724" spans="4:4" ht="13">
      <c r="D724" s="1"/>
    </row>
    <row r="725" spans="4:4" ht="13">
      <c r="D725" s="1"/>
    </row>
    <row r="726" spans="4:4" ht="13">
      <c r="D726" s="1"/>
    </row>
    <row r="727" spans="4:4" ht="13">
      <c r="D727" s="1"/>
    </row>
    <row r="728" spans="4:4" ht="13">
      <c r="D728" s="1"/>
    </row>
    <row r="729" spans="4:4" ht="13">
      <c r="D729" s="1"/>
    </row>
    <row r="730" spans="4:4" ht="13">
      <c r="D730" s="1"/>
    </row>
    <row r="731" spans="4:4" ht="13">
      <c r="D731" s="1"/>
    </row>
    <row r="732" spans="4:4" ht="13">
      <c r="D732" s="1"/>
    </row>
    <row r="733" spans="4:4" ht="13">
      <c r="D733" s="1"/>
    </row>
    <row r="734" spans="4:4" ht="13">
      <c r="D734" s="1"/>
    </row>
    <row r="735" spans="4:4" ht="13">
      <c r="D735" s="1"/>
    </row>
    <row r="736" spans="4:4" ht="13">
      <c r="D736" s="1"/>
    </row>
    <row r="737" spans="4:4" ht="13">
      <c r="D737" s="1"/>
    </row>
    <row r="738" spans="4:4" ht="13">
      <c r="D738" s="1"/>
    </row>
    <row r="739" spans="4:4" ht="13">
      <c r="D739" s="1"/>
    </row>
    <row r="740" spans="4:4" ht="13">
      <c r="D740" s="1"/>
    </row>
    <row r="741" spans="4:4" ht="13">
      <c r="D741" s="1"/>
    </row>
    <row r="742" spans="4:4" ht="13">
      <c r="D742" s="1"/>
    </row>
    <row r="743" spans="4:4" ht="13">
      <c r="D743" s="1"/>
    </row>
    <row r="744" spans="4:4" ht="13">
      <c r="D744" s="1"/>
    </row>
    <row r="745" spans="4:4" ht="13">
      <c r="D745" s="1"/>
    </row>
    <row r="746" spans="4:4" ht="13">
      <c r="D746" s="1"/>
    </row>
    <row r="747" spans="4:4" ht="13">
      <c r="D747" s="1"/>
    </row>
    <row r="748" spans="4:4" ht="13">
      <c r="D748" s="1"/>
    </row>
    <row r="749" spans="4:4" ht="13">
      <c r="D749" s="1"/>
    </row>
    <row r="750" spans="4:4" ht="13">
      <c r="D750" s="1"/>
    </row>
    <row r="751" spans="4:4" ht="13">
      <c r="D751" s="1"/>
    </row>
    <row r="752" spans="4:4" ht="13">
      <c r="D752" s="1"/>
    </row>
    <row r="753" spans="4:4" ht="13">
      <c r="D753" s="1"/>
    </row>
    <row r="754" spans="4:4" ht="13">
      <c r="D754" s="1"/>
    </row>
    <row r="755" spans="4:4" ht="13">
      <c r="D755" s="1"/>
    </row>
    <row r="756" spans="4:4" ht="13">
      <c r="D756" s="1"/>
    </row>
    <row r="757" spans="4:4" ht="13">
      <c r="D757" s="1"/>
    </row>
    <row r="758" spans="4:4" ht="13">
      <c r="D758" s="1"/>
    </row>
    <row r="759" spans="4:4" ht="13">
      <c r="D759" s="1"/>
    </row>
    <row r="760" spans="4:4" ht="13">
      <c r="D760" s="1"/>
    </row>
    <row r="761" spans="4:4" ht="13">
      <c r="D761" s="1"/>
    </row>
    <row r="762" spans="4:4" ht="13">
      <c r="D762" s="1"/>
    </row>
    <row r="763" spans="4:4" ht="13">
      <c r="D763" s="1"/>
    </row>
    <row r="764" spans="4:4" ht="13">
      <c r="D764" s="1"/>
    </row>
    <row r="765" spans="4:4" ht="13">
      <c r="D765" s="1"/>
    </row>
    <row r="766" spans="4:4" ht="13">
      <c r="D766" s="1"/>
    </row>
    <row r="767" spans="4:4" ht="13">
      <c r="D767" s="1"/>
    </row>
    <row r="768" spans="4:4" ht="13">
      <c r="D768" s="1"/>
    </row>
    <row r="769" spans="4:4" ht="13">
      <c r="D769" s="1"/>
    </row>
    <row r="770" spans="4:4" ht="13">
      <c r="D770" s="1"/>
    </row>
    <row r="771" spans="4:4" ht="13">
      <c r="D771" s="1"/>
    </row>
    <row r="772" spans="4:4" ht="13">
      <c r="D772" s="1"/>
    </row>
    <row r="773" spans="4:4" ht="13">
      <c r="D773" s="1"/>
    </row>
    <row r="774" spans="4:4" ht="13">
      <c r="D774" s="1"/>
    </row>
    <row r="775" spans="4:4" ht="13">
      <c r="D775" s="1"/>
    </row>
    <row r="776" spans="4:4" ht="13">
      <c r="D776" s="1"/>
    </row>
    <row r="777" spans="4:4" ht="13">
      <c r="D777" s="1"/>
    </row>
    <row r="778" spans="4:4" ht="13">
      <c r="D778" s="1"/>
    </row>
    <row r="779" spans="4:4" ht="13">
      <c r="D779" s="1"/>
    </row>
    <row r="780" spans="4:4" ht="13">
      <c r="D780" s="1"/>
    </row>
    <row r="781" spans="4:4" ht="13">
      <c r="D781" s="1"/>
    </row>
    <row r="782" spans="4:4" ht="13">
      <c r="D782" s="1"/>
    </row>
    <row r="783" spans="4:4" ht="13">
      <c r="D783" s="1"/>
    </row>
    <row r="784" spans="4:4" ht="13">
      <c r="D784" s="1"/>
    </row>
    <row r="785" spans="4:4" ht="13">
      <c r="D785" s="1"/>
    </row>
    <row r="786" spans="4:4" ht="13">
      <c r="D786" s="1"/>
    </row>
    <row r="787" spans="4:4" ht="13">
      <c r="D787" s="1"/>
    </row>
    <row r="788" spans="4:4" ht="13">
      <c r="D788" s="1"/>
    </row>
    <row r="789" spans="4:4" ht="13">
      <c r="D789" s="1"/>
    </row>
    <row r="790" spans="4:4" ht="13">
      <c r="D790" s="1"/>
    </row>
    <row r="791" spans="4:4" ht="13">
      <c r="D791" s="1"/>
    </row>
    <row r="792" spans="4:4" ht="13">
      <c r="D792" s="1"/>
    </row>
    <row r="793" spans="4:4" ht="13">
      <c r="D793" s="1"/>
    </row>
    <row r="794" spans="4:4" ht="13">
      <c r="D794" s="1"/>
    </row>
    <row r="795" spans="4:4" ht="13">
      <c r="D795" s="1"/>
    </row>
    <row r="796" spans="4:4" ht="13">
      <c r="D796" s="1"/>
    </row>
    <row r="797" spans="4:4" ht="13">
      <c r="D797" s="1"/>
    </row>
    <row r="798" spans="4:4" ht="13">
      <c r="D798" s="1"/>
    </row>
    <row r="799" spans="4:4" ht="13">
      <c r="D799" s="1"/>
    </row>
    <row r="800" spans="4:4" ht="13">
      <c r="D800" s="1"/>
    </row>
    <row r="801" spans="4:4" ht="13">
      <c r="D801" s="1"/>
    </row>
    <row r="802" spans="4:4" ht="13">
      <c r="D802" s="1"/>
    </row>
    <row r="803" spans="4:4" ht="13">
      <c r="D803" s="1"/>
    </row>
    <row r="804" spans="4:4" ht="13">
      <c r="D804" s="1"/>
    </row>
    <row r="805" spans="4:4" ht="13">
      <c r="D805" s="1"/>
    </row>
    <row r="806" spans="4:4" ht="13">
      <c r="D806" s="1"/>
    </row>
    <row r="807" spans="4:4" ht="13">
      <c r="D807" s="1"/>
    </row>
    <row r="808" spans="4:4" ht="13">
      <c r="D808" s="1"/>
    </row>
    <row r="809" spans="4:4" ht="13">
      <c r="D809" s="1"/>
    </row>
    <row r="810" spans="4:4" ht="13">
      <c r="D810" s="1"/>
    </row>
    <row r="811" spans="4:4" ht="13">
      <c r="D811" s="1"/>
    </row>
    <row r="812" spans="4:4" ht="13">
      <c r="D812" s="1"/>
    </row>
    <row r="813" spans="4:4" ht="13">
      <c r="D813" s="1"/>
    </row>
    <row r="814" spans="4:4" ht="13">
      <c r="D814" s="1"/>
    </row>
    <row r="815" spans="4:4" ht="13">
      <c r="D815" s="1"/>
    </row>
    <row r="816" spans="4:4" ht="13">
      <c r="D816" s="1"/>
    </row>
    <row r="817" spans="4:4" ht="13">
      <c r="D817" s="1"/>
    </row>
    <row r="818" spans="4:4" ht="13">
      <c r="D818" s="1"/>
    </row>
    <row r="819" spans="4:4" ht="13">
      <c r="D819" s="1"/>
    </row>
    <row r="820" spans="4:4" ht="13">
      <c r="D820" s="1"/>
    </row>
    <row r="821" spans="4:4" ht="13">
      <c r="D821" s="1"/>
    </row>
    <row r="822" spans="4:4" ht="13">
      <c r="D822" s="1"/>
    </row>
    <row r="823" spans="4:4" ht="13">
      <c r="D823" s="1"/>
    </row>
    <row r="824" spans="4:4" ht="13">
      <c r="D824" s="1"/>
    </row>
    <row r="825" spans="4:4" ht="13">
      <c r="D825" s="1"/>
    </row>
    <row r="826" spans="4:4" ht="13">
      <c r="D826" s="1"/>
    </row>
    <row r="827" spans="4:4" ht="13">
      <c r="D827" s="1"/>
    </row>
    <row r="828" spans="4:4" ht="13">
      <c r="D828" s="1"/>
    </row>
    <row r="829" spans="4:4" ht="13">
      <c r="D829" s="1"/>
    </row>
    <row r="830" spans="4:4" ht="13">
      <c r="D830" s="1"/>
    </row>
    <row r="831" spans="4:4" ht="13">
      <c r="D831" s="1"/>
    </row>
    <row r="832" spans="4:4" ht="13">
      <c r="D832" s="1"/>
    </row>
    <row r="833" spans="4:4" ht="13">
      <c r="D833" s="1"/>
    </row>
    <row r="834" spans="4:4" ht="13">
      <c r="D834" s="1"/>
    </row>
    <row r="835" spans="4:4" ht="13">
      <c r="D835" s="1"/>
    </row>
    <row r="836" spans="4:4" ht="13">
      <c r="D836" s="1"/>
    </row>
    <row r="837" spans="4:4" ht="13">
      <c r="D837" s="1"/>
    </row>
    <row r="838" spans="4:4" ht="13">
      <c r="D838" s="1"/>
    </row>
    <row r="839" spans="4:4" ht="13">
      <c r="D839" s="1"/>
    </row>
    <row r="840" spans="4:4" ht="13">
      <c r="D840" s="1"/>
    </row>
    <row r="841" spans="4:4" ht="13">
      <c r="D841" s="1"/>
    </row>
    <row r="842" spans="4:4" ht="13">
      <c r="D842" s="1"/>
    </row>
    <row r="843" spans="4:4" ht="13">
      <c r="D843" s="1"/>
    </row>
    <row r="844" spans="4:4" ht="13">
      <c r="D844" s="1"/>
    </row>
    <row r="845" spans="4:4" ht="13">
      <c r="D845" s="1"/>
    </row>
    <row r="846" spans="4:4" ht="13">
      <c r="D846" s="1"/>
    </row>
    <row r="847" spans="4:4" ht="13">
      <c r="D847" s="1"/>
    </row>
    <row r="848" spans="4:4" ht="13">
      <c r="D848" s="1"/>
    </row>
    <row r="849" spans="4:4" ht="13">
      <c r="D849" s="1"/>
    </row>
    <row r="850" spans="4:4" ht="13">
      <c r="D850" s="1"/>
    </row>
    <row r="851" spans="4:4" ht="13">
      <c r="D851" s="1"/>
    </row>
    <row r="852" spans="4:4" ht="13">
      <c r="D852" s="1"/>
    </row>
    <row r="853" spans="4:4" ht="13">
      <c r="D853" s="1"/>
    </row>
    <row r="854" spans="4:4" ht="13">
      <c r="D854" s="1"/>
    </row>
    <row r="855" spans="4:4" ht="13">
      <c r="D855" s="1"/>
    </row>
    <row r="856" spans="4:4" ht="13">
      <c r="D856" s="1"/>
    </row>
    <row r="857" spans="4:4" ht="13">
      <c r="D857" s="1"/>
    </row>
    <row r="858" spans="4:4" ht="13">
      <c r="D858" s="1"/>
    </row>
    <row r="859" spans="4:4" ht="13">
      <c r="D859" s="1"/>
    </row>
    <row r="860" spans="4:4" ht="13">
      <c r="D860" s="1"/>
    </row>
    <row r="861" spans="4:4" ht="13">
      <c r="D861" s="1"/>
    </row>
    <row r="862" spans="4:4" ht="13">
      <c r="D862" s="1"/>
    </row>
    <row r="863" spans="4:4" ht="13">
      <c r="D863" s="1"/>
    </row>
    <row r="864" spans="4:4" ht="13">
      <c r="D864" s="1"/>
    </row>
    <row r="865" spans="4:4" ht="13">
      <c r="D865" s="1"/>
    </row>
    <row r="866" spans="4:4" ht="13">
      <c r="D866" s="1"/>
    </row>
    <row r="867" spans="4:4" ht="13">
      <c r="D867" s="1"/>
    </row>
    <row r="868" spans="4:4" ht="13">
      <c r="D868" s="1"/>
    </row>
    <row r="869" spans="4:4" ht="13">
      <c r="D869" s="1"/>
    </row>
    <row r="870" spans="4:4" ht="13">
      <c r="D870" s="1"/>
    </row>
    <row r="871" spans="4:4" ht="13">
      <c r="D871" s="1"/>
    </row>
    <row r="872" spans="4:4" ht="13">
      <c r="D872" s="1"/>
    </row>
    <row r="873" spans="4:4" ht="13">
      <c r="D873" s="1"/>
    </row>
    <row r="874" spans="4:4" ht="13">
      <c r="D874" s="1"/>
    </row>
    <row r="875" spans="4:4" ht="13">
      <c r="D875" s="1"/>
    </row>
    <row r="876" spans="4:4" ht="13">
      <c r="D876" s="1"/>
    </row>
    <row r="877" spans="4:4" ht="13">
      <c r="D877" s="1"/>
    </row>
    <row r="878" spans="4:4" ht="13">
      <c r="D878" s="1"/>
    </row>
    <row r="879" spans="4:4" ht="13">
      <c r="D879" s="1"/>
    </row>
    <row r="880" spans="4:4" ht="13">
      <c r="D880" s="1"/>
    </row>
    <row r="881" spans="4:4" ht="13">
      <c r="D881" s="1"/>
    </row>
    <row r="882" spans="4:4" ht="13">
      <c r="D882" s="1"/>
    </row>
    <row r="883" spans="4:4" ht="13">
      <c r="D883" s="1"/>
    </row>
    <row r="884" spans="4:4" ht="13">
      <c r="D884" s="1"/>
    </row>
    <row r="885" spans="4:4" ht="13">
      <c r="D885" s="1"/>
    </row>
    <row r="886" spans="4:4" ht="13">
      <c r="D886" s="1"/>
    </row>
    <row r="887" spans="4:4" ht="13">
      <c r="D887" s="1"/>
    </row>
    <row r="888" spans="4:4" ht="13">
      <c r="D888" s="1"/>
    </row>
    <row r="889" spans="4:4" ht="13">
      <c r="D889" s="1"/>
    </row>
    <row r="890" spans="4:4" ht="13">
      <c r="D890" s="1"/>
    </row>
    <row r="891" spans="4:4" ht="13">
      <c r="D891" s="1"/>
    </row>
    <row r="892" spans="4:4" ht="13">
      <c r="D892" s="1"/>
    </row>
    <row r="893" spans="4:4" ht="13">
      <c r="D893" s="1"/>
    </row>
    <row r="894" spans="4:4" ht="13">
      <c r="D894" s="1"/>
    </row>
    <row r="895" spans="4:4" ht="13">
      <c r="D895" s="1"/>
    </row>
    <row r="896" spans="4:4" ht="13">
      <c r="D896" s="1"/>
    </row>
    <row r="897" spans="4:4" ht="13">
      <c r="D897" s="1"/>
    </row>
    <row r="898" spans="4:4" ht="13">
      <c r="D898" s="1"/>
    </row>
    <row r="899" spans="4:4" ht="13">
      <c r="D899" s="1"/>
    </row>
    <row r="900" spans="4:4" ht="13">
      <c r="D900" s="1"/>
    </row>
    <row r="901" spans="4:4" ht="13">
      <c r="D901" s="1"/>
    </row>
    <row r="902" spans="4:4" ht="13">
      <c r="D902" s="1"/>
    </row>
    <row r="903" spans="4:4" ht="13">
      <c r="D903" s="1"/>
    </row>
    <row r="904" spans="4:4" ht="13">
      <c r="D904" s="1"/>
    </row>
    <row r="905" spans="4:4" ht="13">
      <c r="D905" s="1"/>
    </row>
    <row r="906" spans="4:4" ht="13">
      <c r="D906" s="1"/>
    </row>
    <row r="907" spans="4:4" ht="13">
      <c r="D907" s="1"/>
    </row>
    <row r="908" spans="4:4" ht="13">
      <c r="D908" s="1"/>
    </row>
    <row r="909" spans="4:4" ht="13">
      <c r="D909" s="1"/>
    </row>
    <row r="910" spans="4:4" ht="13">
      <c r="D910" s="1"/>
    </row>
    <row r="911" spans="4:4" ht="13">
      <c r="D911" s="1"/>
    </row>
    <row r="912" spans="4:4" ht="13">
      <c r="D912" s="1"/>
    </row>
    <row r="913" spans="4:4" ht="13">
      <c r="D913" s="1"/>
    </row>
    <row r="914" spans="4:4" ht="13">
      <c r="D914" s="1"/>
    </row>
    <row r="915" spans="4:4" ht="13">
      <c r="D915" s="1"/>
    </row>
    <row r="916" spans="4:4" ht="13">
      <c r="D916" s="1"/>
    </row>
    <row r="917" spans="4:4" ht="13">
      <c r="D917" s="1"/>
    </row>
    <row r="918" spans="4:4" ht="13">
      <c r="D918" s="1"/>
    </row>
    <row r="919" spans="4:4" ht="13">
      <c r="D919" s="1"/>
    </row>
    <row r="920" spans="4:4" ht="13">
      <c r="D920" s="1"/>
    </row>
    <row r="921" spans="4:4" ht="13">
      <c r="D921" s="1"/>
    </row>
    <row r="922" spans="4:4" ht="13">
      <c r="D922" s="1"/>
    </row>
    <row r="923" spans="4:4" ht="13">
      <c r="D923" s="1"/>
    </row>
    <row r="924" spans="4:4" ht="13">
      <c r="D924" s="1"/>
    </row>
    <row r="925" spans="4:4" ht="13">
      <c r="D925" s="1"/>
    </row>
    <row r="926" spans="4:4" ht="13">
      <c r="D926" s="1"/>
    </row>
    <row r="927" spans="4:4" ht="13">
      <c r="D927" s="1"/>
    </row>
    <row r="928" spans="4:4" ht="13">
      <c r="D928" s="1"/>
    </row>
    <row r="929" spans="4:4" ht="13">
      <c r="D929" s="1"/>
    </row>
    <row r="930" spans="4:4" ht="13">
      <c r="D930" s="1"/>
    </row>
    <row r="931" spans="4:4" ht="13">
      <c r="D931" s="1"/>
    </row>
    <row r="932" spans="4:4" ht="13">
      <c r="D932" s="1"/>
    </row>
    <row r="933" spans="4:4" ht="13">
      <c r="D933" s="1"/>
    </row>
    <row r="934" spans="4:4" ht="13">
      <c r="D934" s="1"/>
    </row>
    <row r="935" spans="4:4" ht="13">
      <c r="D935" s="1"/>
    </row>
    <row r="936" spans="4:4" ht="13">
      <c r="D936" s="1"/>
    </row>
    <row r="937" spans="4:4" ht="13">
      <c r="D937" s="1"/>
    </row>
    <row r="938" spans="4:4" ht="13">
      <c r="D938" s="1"/>
    </row>
    <row r="939" spans="4:4" ht="13">
      <c r="D939" s="1"/>
    </row>
    <row r="940" spans="4:4" ht="13">
      <c r="D940" s="1"/>
    </row>
    <row r="941" spans="4:4" ht="13">
      <c r="D941" s="1"/>
    </row>
    <row r="942" spans="4:4" ht="13">
      <c r="D942" s="1"/>
    </row>
    <row r="943" spans="4:4" ht="13">
      <c r="D943" s="1"/>
    </row>
    <row r="944" spans="4:4" ht="13">
      <c r="D944" s="1"/>
    </row>
    <row r="945" spans="4:4" ht="13">
      <c r="D945" s="1"/>
    </row>
    <row r="946" spans="4:4" ht="13">
      <c r="D946" s="1"/>
    </row>
    <row r="947" spans="4:4" ht="13">
      <c r="D947" s="1"/>
    </row>
    <row r="948" spans="4:4" ht="13">
      <c r="D948" s="1"/>
    </row>
    <row r="949" spans="4:4" ht="13">
      <c r="D949" s="1"/>
    </row>
    <row r="950" spans="4:4" ht="13">
      <c r="D950" s="1"/>
    </row>
    <row r="951" spans="4:4" ht="13">
      <c r="D951" s="1"/>
    </row>
    <row r="952" spans="4:4" ht="13">
      <c r="D952" s="1"/>
    </row>
    <row r="953" spans="4:4" ht="13">
      <c r="D953" s="1"/>
    </row>
    <row r="954" spans="4:4" ht="13">
      <c r="D954" s="1"/>
    </row>
    <row r="955" spans="4:4" ht="13">
      <c r="D955" s="1"/>
    </row>
    <row r="956" spans="4:4" ht="13">
      <c r="D956" s="1"/>
    </row>
    <row r="957" spans="4:4" ht="13">
      <c r="D957" s="1"/>
    </row>
    <row r="958" spans="4:4" ht="13">
      <c r="D958" s="1"/>
    </row>
    <row r="959" spans="4:4" ht="13">
      <c r="D959" s="1"/>
    </row>
    <row r="960" spans="4:4" ht="13">
      <c r="D960" s="1"/>
    </row>
    <row r="961" spans="4:4" ht="13">
      <c r="D961" s="1"/>
    </row>
    <row r="962" spans="4:4" ht="13">
      <c r="D962" s="1"/>
    </row>
    <row r="963" spans="4:4" ht="13">
      <c r="D963" s="1"/>
    </row>
    <row r="964" spans="4:4" ht="13">
      <c r="D964" s="1"/>
    </row>
    <row r="965" spans="4:4" ht="13">
      <c r="D965" s="1"/>
    </row>
    <row r="966" spans="4:4" ht="13">
      <c r="D966" s="1"/>
    </row>
    <row r="967" spans="4:4" ht="13">
      <c r="D967" s="1"/>
    </row>
    <row r="968" spans="4:4" ht="13">
      <c r="D968" s="1"/>
    </row>
    <row r="969" spans="4:4" ht="13">
      <c r="D969" s="1"/>
    </row>
    <row r="970" spans="4:4" ht="13">
      <c r="D970" s="1"/>
    </row>
    <row r="971" spans="4:4" ht="13">
      <c r="D971" s="1"/>
    </row>
    <row r="972" spans="4:4" ht="13">
      <c r="D972" s="1"/>
    </row>
    <row r="973" spans="4:4" ht="13">
      <c r="D973" s="1"/>
    </row>
    <row r="974" spans="4:4" ht="13">
      <c r="D974" s="1"/>
    </row>
    <row r="975" spans="4:4" ht="13">
      <c r="D975" s="1"/>
    </row>
    <row r="976" spans="4:4" ht="13">
      <c r="D976" s="1"/>
    </row>
    <row r="977" spans="4:4" ht="13">
      <c r="D977" s="1"/>
    </row>
    <row r="978" spans="4:4" ht="13">
      <c r="D978" s="1"/>
    </row>
    <row r="979" spans="4:4" ht="13">
      <c r="D979" s="1"/>
    </row>
    <row r="980" spans="4:4" ht="13">
      <c r="D980" s="1"/>
    </row>
    <row r="981" spans="4:4" ht="13">
      <c r="D981" s="1"/>
    </row>
    <row r="982" spans="4:4" ht="13">
      <c r="D982" s="1"/>
    </row>
    <row r="983" spans="4:4" ht="13">
      <c r="D983" s="1"/>
    </row>
    <row r="984" spans="4:4" ht="13">
      <c r="D984" s="1"/>
    </row>
    <row r="985" spans="4:4" ht="13">
      <c r="D985" s="1"/>
    </row>
    <row r="986" spans="4:4" ht="13">
      <c r="D986" s="1"/>
    </row>
    <row r="987" spans="4:4" ht="13">
      <c r="D987" s="1"/>
    </row>
    <row r="988" spans="4:4" ht="13">
      <c r="D988" s="1"/>
    </row>
    <row r="989" spans="4:4" ht="13">
      <c r="D989" s="1"/>
    </row>
    <row r="990" spans="4:4" ht="13">
      <c r="D990" s="1"/>
    </row>
    <row r="991" spans="4:4" ht="13">
      <c r="D991" s="1"/>
    </row>
    <row r="992" spans="4:4" ht="13">
      <c r="D992" s="1"/>
    </row>
    <row r="993" spans="4:4" ht="13">
      <c r="D993" s="1"/>
    </row>
    <row r="994" spans="4:4" ht="13">
      <c r="D994" s="1"/>
    </row>
    <row r="995" spans="4:4" ht="13">
      <c r="D995" s="1"/>
    </row>
    <row r="996" spans="4:4" ht="13">
      <c r="D996" s="1"/>
    </row>
    <row r="997" spans="4:4" ht="13">
      <c r="D997" s="1"/>
    </row>
    <row r="998" spans="4:4" ht="13">
      <c r="D998" s="1"/>
    </row>
    <row r="999" spans="4:4" ht="13">
      <c r="D999" s="1"/>
    </row>
    <row r="1000" spans="4:4" ht="13">
      <c r="D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9"/>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1" width="5.1640625" customWidth="1"/>
    <col min="4" max="4" width="37.33203125" customWidth="1"/>
    <col min="11" max="11" width="93" customWidth="1"/>
    <col min="12" max="12" width="60.6640625" customWidth="1"/>
    <col min="13" max="19" width="18.33203125" customWidth="1"/>
    <col min="21" max="21" width="16.6640625" customWidth="1"/>
    <col min="22" max="22" width="86.5" customWidth="1"/>
    <col min="23" max="24" width="68.5" customWidth="1"/>
  </cols>
  <sheetData>
    <row r="1" spans="1:25" ht="15.75" customHeight="1">
      <c r="A1" s="3" t="s">
        <v>0</v>
      </c>
      <c r="B1" s="3" t="s">
        <v>1</v>
      </c>
      <c r="C1" s="3" t="s">
        <v>2</v>
      </c>
      <c r="D1" s="3" t="s">
        <v>3</v>
      </c>
      <c r="E1" s="3" t="s">
        <v>5</v>
      </c>
      <c r="F1" s="3" t="s">
        <v>6</v>
      </c>
      <c r="G1" s="3" t="s">
        <v>7</v>
      </c>
      <c r="H1" s="8" t="s">
        <v>9</v>
      </c>
      <c r="I1" s="8" t="s">
        <v>13</v>
      </c>
      <c r="J1" s="8" t="s">
        <v>16</v>
      </c>
      <c r="K1" s="8" t="s">
        <v>17</v>
      </c>
      <c r="L1" s="9" t="s">
        <v>18</v>
      </c>
      <c r="M1" s="10" t="s">
        <v>20</v>
      </c>
      <c r="N1" s="10" t="s">
        <v>22</v>
      </c>
      <c r="O1" s="10" t="s">
        <v>24</v>
      </c>
      <c r="P1" s="10" t="s">
        <v>26</v>
      </c>
      <c r="Q1" s="10" t="s">
        <v>27</v>
      </c>
      <c r="R1" s="10" t="s">
        <v>29</v>
      </c>
      <c r="S1" s="10" t="s">
        <v>30</v>
      </c>
      <c r="T1" s="10" t="s">
        <v>31</v>
      </c>
      <c r="U1" s="10" t="s">
        <v>32</v>
      </c>
      <c r="V1" s="10" t="s">
        <v>25</v>
      </c>
      <c r="W1" s="12" t="s">
        <v>28</v>
      </c>
      <c r="X1" s="14" t="s">
        <v>33</v>
      </c>
    </row>
    <row r="2" spans="1:25" ht="15.75" customHeight="1">
      <c r="A2" s="17">
        <v>1</v>
      </c>
      <c r="B2" s="17" t="s">
        <v>34</v>
      </c>
      <c r="C2" s="17" t="s">
        <v>35</v>
      </c>
      <c r="D2" s="17" t="s">
        <v>38</v>
      </c>
      <c r="E2" s="17" t="s">
        <v>39</v>
      </c>
      <c r="F2" s="17">
        <v>2008</v>
      </c>
      <c r="G2" s="17">
        <v>261</v>
      </c>
      <c r="H2" s="19"/>
      <c r="I2" s="19">
        <v>46108</v>
      </c>
      <c r="J2" s="21"/>
      <c r="K2" s="21"/>
      <c r="L2" s="22" t="s">
        <v>41</v>
      </c>
      <c r="M2" s="25"/>
      <c r="N2" s="25"/>
      <c r="O2" s="25"/>
      <c r="P2" s="25"/>
      <c r="Q2" s="25"/>
      <c r="R2" s="25"/>
      <c r="S2" s="25"/>
      <c r="T2" s="21"/>
      <c r="U2" s="21"/>
      <c r="V2" s="27"/>
      <c r="W2" s="24"/>
      <c r="X2" s="25"/>
      <c r="Y2" s="32" t="str">
        <f ca="1">IFERROR(__xludf.DUMMYFUNCTION("AI("""")"),"")</f>
        <v/>
      </c>
    </row>
    <row r="3" spans="1:25" ht="15.75" customHeight="1">
      <c r="A3" s="31">
        <v>2</v>
      </c>
      <c r="B3" s="15" t="s">
        <v>34</v>
      </c>
      <c r="C3" s="31" t="s">
        <v>35</v>
      </c>
      <c r="D3" s="31" t="s">
        <v>51</v>
      </c>
      <c r="E3" s="31" t="s">
        <v>52</v>
      </c>
      <c r="F3" s="31">
        <v>2002</v>
      </c>
      <c r="G3" s="31">
        <v>64</v>
      </c>
      <c r="H3" s="34"/>
      <c r="I3" s="34">
        <v>46109</v>
      </c>
      <c r="J3" s="21"/>
      <c r="K3" s="21"/>
      <c r="L3" s="22" t="s">
        <v>55</v>
      </c>
      <c r="M3" s="25"/>
      <c r="N3" s="25"/>
      <c r="O3" s="25"/>
      <c r="P3" s="25"/>
      <c r="Q3" s="25"/>
      <c r="R3" s="25"/>
      <c r="S3" s="25"/>
      <c r="T3" s="21"/>
      <c r="U3" s="21"/>
      <c r="V3" s="27"/>
      <c r="W3" s="24"/>
      <c r="X3" s="25"/>
    </row>
    <row r="4" spans="1:25" ht="15.75" customHeight="1">
      <c r="A4" s="31">
        <v>3</v>
      </c>
      <c r="B4" s="31" t="s">
        <v>34</v>
      </c>
      <c r="C4" s="31" t="s">
        <v>35</v>
      </c>
      <c r="D4" s="31" t="s">
        <v>60</v>
      </c>
      <c r="E4" s="37">
        <v>39295</v>
      </c>
      <c r="F4" s="31">
        <v>2015</v>
      </c>
      <c r="G4" s="31">
        <v>284</v>
      </c>
      <c r="H4" s="31" t="s">
        <v>63</v>
      </c>
      <c r="I4" s="34">
        <v>46110</v>
      </c>
      <c r="J4" s="38">
        <v>27</v>
      </c>
      <c r="K4" s="27" t="s">
        <v>68</v>
      </c>
      <c r="L4" s="22" t="s">
        <v>41</v>
      </c>
      <c r="M4" s="42" t="s">
        <v>70</v>
      </c>
      <c r="N4" s="42" t="s">
        <v>71</v>
      </c>
      <c r="O4" s="42"/>
      <c r="P4" s="42"/>
      <c r="Q4" s="42"/>
      <c r="R4" s="42"/>
      <c r="S4" s="42">
        <v>697.19</v>
      </c>
      <c r="T4" s="38">
        <v>10644.48</v>
      </c>
      <c r="U4" s="38">
        <f>T4-S4</f>
        <v>9947.2899999999991</v>
      </c>
      <c r="V4" s="27" t="s">
        <v>88</v>
      </c>
      <c r="W4" s="24" t="s">
        <v>91</v>
      </c>
      <c r="X4" s="25"/>
    </row>
    <row r="5" spans="1:25" ht="15.75" customHeight="1">
      <c r="A5" s="31">
        <v>69</v>
      </c>
      <c r="B5" s="31" t="s">
        <v>34</v>
      </c>
      <c r="C5" s="31" t="s">
        <v>46</v>
      </c>
      <c r="D5" s="31" t="s">
        <v>95</v>
      </c>
      <c r="E5" s="45">
        <v>40878</v>
      </c>
      <c r="F5" s="31">
        <v>2015</v>
      </c>
      <c r="G5" s="31">
        <v>68</v>
      </c>
      <c r="H5" s="34"/>
      <c r="I5" s="34">
        <v>46109</v>
      </c>
      <c r="J5" s="21"/>
      <c r="K5" s="21"/>
      <c r="L5" s="22" t="s">
        <v>24</v>
      </c>
      <c r="M5" s="25"/>
      <c r="N5" s="25"/>
      <c r="O5" s="25"/>
      <c r="P5" s="25"/>
      <c r="Q5" s="25"/>
      <c r="R5" s="25"/>
      <c r="S5" s="25"/>
      <c r="T5" s="21"/>
      <c r="U5" s="21"/>
      <c r="V5" s="27"/>
      <c r="W5" s="24"/>
      <c r="X5" s="25"/>
    </row>
    <row r="6" spans="1:25" ht="15.75" customHeight="1">
      <c r="A6" s="17">
        <v>70</v>
      </c>
      <c r="B6" s="17" t="s">
        <v>34</v>
      </c>
      <c r="C6" s="17" t="s">
        <v>46</v>
      </c>
      <c r="D6" s="17" t="s">
        <v>109</v>
      </c>
      <c r="E6" s="17" t="s">
        <v>111</v>
      </c>
      <c r="F6" s="17">
        <v>2015</v>
      </c>
      <c r="G6" s="17">
        <v>76</v>
      </c>
      <c r="H6" s="19"/>
      <c r="I6" s="19">
        <v>46108</v>
      </c>
      <c r="J6" s="21"/>
      <c r="K6" s="21"/>
      <c r="L6" s="22" t="s">
        <v>22</v>
      </c>
      <c r="M6" s="25"/>
      <c r="N6" s="25"/>
      <c r="O6" s="25"/>
      <c r="P6" s="25"/>
      <c r="Q6" s="25"/>
      <c r="R6" s="25"/>
      <c r="S6" s="25"/>
      <c r="T6" s="21"/>
      <c r="U6" s="21"/>
      <c r="V6" s="27"/>
      <c r="W6" s="24"/>
      <c r="X6" s="25"/>
    </row>
    <row r="7" spans="1:25" ht="15.75" customHeight="1">
      <c r="A7" s="17">
        <v>4</v>
      </c>
      <c r="B7" s="17" t="s">
        <v>61</v>
      </c>
      <c r="C7" s="17" t="s">
        <v>35</v>
      </c>
      <c r="D7" s="17" t="s">
        <v>124</v>
      </c>
      <c r="E7" s="17" t="s">
        <v>125</v>
      </c>
      <c r="F7" s="17" t="s">
        <v>126</v>
      </c>
      <c r="G7" s="17">
        <v>301</v>
      </c>
      <c r="H7" s="19">
        <v>46224</v>
      </c>
      <c r="I7" s="19">
        <v>46080</v>
      </c>
      <c r="J7" s="38" t="s">
        <v>127</v>
      </c>
      <c r="K7" s="21" t="s">
        <v>132</v>
      </c>
      <c r="L7" s="22" t="s">
        <v>135</v>
      </c>
      <c r="M7" s="42" t="s">
        <v>70</v>
      </c>
      <c r="N7" s="42" t="s">
        <v>71</v>
      </c>
      <c r="O7" s="42" t="s">
        <v>136</v>
      </c>
      <c r="P7" s="42"/>
      <c r="Q7" s="42"/>
      <c r="R7" s="42"/>
      <c r="S7" s="42">
        <v>353.38</v>
      </c>
      <c r="T7" s="38">
        <v>6100</v>
      </c>
      <c r="U7" s="38">
        <v>5747</v>
      </c>
      <c r="V7" s="27" t="s">
        <v>142</v>
      </c>
      <c r="W7" s="24" t="s">
        <v>144</v>
      </c>
      <c r="X7" s="25"/>
    </row>
    <row r="8" spans="1:25" ht="15.75" customHeight="1">
      <c r="A8" s="31">
        <v>5</v>
      </c>
      <c r="B8" s="31" t="s">
        <v>61</v>
      </c>
      <c r="C8" s="31" t="s">
        <v>35</v>
      </c>
      <c r="D8" s="31" t="s">
        <v>150</v>
      </c>
      <c r="E8" s="37">
        <v>37712</v>
      </c>
      <c r="F8" s="31">
        <v>2007</v>
      </c>
      <c r="G8" s="31">
        <v>154</v>
      </c>
      <c r="H8" s="34">
        <v>46103</v>
      </c>
      <c r="I8" s="34">
        <v>46110</v>
      </c>
      <c r="J8" s="34" t="s">
        <v>153</v>
      </c>
      <c r="K8" s="21" t="s">
        <v>156</v>
      </c>
      <c r="L8" s="22" t="s">
        <v>158</v>
      </c>
      <c r="M8" s="42"/>
      <c r="N8" s="42" t="s">
        <v>71</v>
      </c>
      <c r="O8" s="42"/>
      <c r="P8" s="42" t="s">
        <v>161</v>
      </c>
      <c r="Q8" s="42" t="s">
        <v>162</v>
      </c>
      <c r="R8" s="42"/>
      <c r="S8" s="42">
        <v>726.96</v>
      </c>
      <c r="T8" s="38">
        <v>4754.5200000000004</v>
      </c>
      <c r="U8" s="38">
        <f t="shared" ref="U8:U10" si="0">T8-S8</f>
        <v>4027.5600000000004</v>
      </c>
      <c r="V8" s="27" t="s">
        <v>176</v>
      </c>
      <c r="W8" s="24" t="s">
        <v>90</v>
      </c>
      <c r="X8" s="25"/>
    </row>
    <row r="9" spans="1:25" ht="15.75" customHeight="1">
      <c r="A9" s="17">
        <v>71</v>
      </c>
      <c r="B9" s="17" t="s">
        <v>61</v>
      </c>
      <c r="C9" s="17" t="s">
        <v>46</v>
      </c>
      <c r="D9" s="17" t="s">
        <v>184</v>
      </c>
      <c r="E9" s="56">
        <v>40087</v>
      </c>
      <c r="F9" s="17">
        <v>2014</v>
      </c>
      <c r="G9" s="17">
        <v>7</v>
      </c>
      <c r="H9" s="17" t="s">
        <v>191</v>
      </c>
      <c r="I9" s="19">
        <v>46080</v>
      </c>
      <c r="J9" s="21" t="s">
        <v>192</v>
      </c>
      <c r="K9" s="21" t="s">
        <v>194</v>
      </c>
      <c r="L9" s="22" t="s">
        <v>22</v>
      </c>
      <c r="M9" s="25"/>
      <c r="N9" s="57" t="s">
        <v>71</v>
      </c>
      <c r="O9" s="57"/>
      <c r="P9" s="57"/>
      <c r="Q9" s="57"/>
      <c r="R9" s="57"/>
      <c r="S9" s="57">
        <v>94.06</v>
      </c>
      <c r="T9" s="58">
        <v>296.51</v>
      </c>
      <c r="U9" s="58">
        <f t="shared" si="0"/>
        <v>202.45</v>
      </c>
      <c r="V9" s="27" t="s">
        <v>208</v>
      </c>
      <c r="W9" s="24" t="s">
        <v>211</v>
      </c>
      <c r="X9" s="25"/>
    </row>
    <row r="10" spans="1:25" ht="15.75" customHeight="1">
      <c r="A10" s="31">
        <v>72</v>
      </c>
      <c r="B10" s="31" t="s">
        <v>61</v>
      </c>
      <c r="C10" s="31" t="s">
        <v>46</v>
      </c>
      <c r="D10" s="31" t="s">
        <v>213</v>
      </c>
      <c r="E10" s="45">
        <v>40878</v>
      </c>
      <c r="F10" s="31">
        <v>2013</v>
      </c>
      <c r="G10" s="31">
        <v>150</v>
      </c>
      <c r="H10" s="31" t="s">
        <v>217</v>
      </c>
      <c r="I10" s="34">
        <v>46139</v>
      </c>
      <c r="J10" s="21" t="s">
        <v>218</v>
      </c>
      <c r="K10" s="59" t="s">
        <v>222</v>
      </c>
      <c r="L10" s="22" t="s">
        <v>228</v>
      </c>
      <c r="M10" s="25"/>
      <c r="N10" s="60" t="s">
        <v>71</v>
      </c>
      <c r="O10" s="60"/>
      <c r="P10" s="60" t="s">
        <v>161</v>
      </c>
      <c r="Q10" s="60"/>
      <c r="R10" s="60"/>
      <c r="S10" s="60">
        <v>1143.5999999999999</v>
      </c>
      <c r="T10" s="60">
        <v>1798</v>
      </c>
      <c r="U10" s="61">
        <f t="shared" si="0"/>
        <v>654.40000000000009</v>
      </c>
      <c r="V10" s="27" t="s">
        <v>240</v>
      </c>
      <c r="W10" s="24" t="s">
        <v>243</v>
      </c>
      <c r="X10" s="25"/>
    </row>
    <row r="11" spans="1:25" ht="15.75" customHeight="1">
      <c r="A11" s="31">
        <v>73</v>
      </c>
      <c r="B11" s="31" t="s">
        <v>61</v>
      </c>
      <c r="C11" s="31" t="s">
        <v>46</v>
      </c>
      <c r="D11" s="31" t="s">
        <v>246</v>
      </c>
      <c r="E11" s="45">
        <v>40878</v>
      </c>
      <c r="F11" s="31">
        <v>2015</v>
      </c>
      <c r="G11" s="31">
        <v>92</v>
      </c>
      <c r="H11" s="31" t="s">
        <v>248</v>
      </c>
      <c r="I11" s="34">
        <v>46139</v>
      </c>
      <c r="J11" s="21" t="s">
        <v>249</v>
      </c>
      <c r="K11" s="21" t="s">
        <v>251</v>
      </c>
      <c r="L11" s="22" t="s">
        <v>22</v>
      </c>
      <c r="M11" s="25"/>
      <c r="N11" s="60" t="s">
        <v>71</v>
      </c>
      <c r="O11" s="25"/>
      <c r="P11" s="25"/>
      <c r="Q11" s="25"/>
      <c r="R11" s="25"/>
      <c r="S11" s="25">
        <v>558.66999999999996</v>
      </c>
      <c r="T11" s="21">
        <v>1600</v>
      </c>
      <c r="U11" s="21">
        <v>1041.33</v>
      </c>
      <c r="V11" s="27" t="s">
        <v>256</v>
      </c>
      <c r="W11" s="24" t="s">
        <v>257</v>
      </c>
      <c r="X11" s="25"/>
    </row>
    <row r="12" spans="1:25" ht="15.75" customHeight="1">
      <c r="A12" s="31">
        <v>6</v>
      </c>
      <c r="B12" s="31" t="s">
        <v>174</v>
      </c>
      <c r="C12" s="31" t="s">
        <v>35</v>
      </c>
      <c r="D12" s="31" t="s">
        <v>259</v>
      </c>
      <c r="E12" s="31" t="s">
        <v>39</v>
      </c>
      <c r="F12" s="31" t="s">
        <v>261</v>
      </c>
      <c r="G12" s="31">
        <v>76</v>
      </c>
      <c r="H12" s="34"/>
      <c r="I12" s="34">
        <v>46385</v>
      </c>
      <c r="J12" s="21"/>
      <c r="K12" s="21" t="s">
        <v>263</v>
      </c>
      <c r="L12" s="22" t="s">
        <v>45</v>
      </c>
      <c r="M12" s="25"/>
      <c r="N12" s="25"/>
      <c r="O12" s="25"/>
      <c r="P12" s="25"/>
      <c r="Q12" s="25"/>
      <c r="R12" s="25"/>
      <c r="S12" s="25">
        <v>175.69</v>
      </c>
      <c r="T12" s="21">
        <v>735.21</v>
      </c>
      <c r="U12" s="21">
        <f t="shared" ref="U12:U13" si="1">T12-S12</f>
        <v>559.52</v>
      </c>
      <c r="V12" s="27" t="s">
        <v>176</v>
      </c>
      <c r="W12" s="24" t="s">
        <v>211</v>
      </c>
      <c r="X12" s="25"/>
    </row>
    <row r="13" spans="1:25" ht="15.75" customHeight="1">
      <c r="A13" s="31">
        <v>7</v>
      </c>
      <c r="B13" s="31" t="s">
        <v>174</v>
      </c>
      <c r="C13" s="31" t="s">
        <v>35</v>
      </c>
      <c r="D13" s="31" t="s">
        <v>282</v>
      </c>
      <c r="E13" s="31" t="s">
        <v>283</v>
      </c>
      <c r="F13" s="31" t="s">
        <v>284</v>
      </c>
      <c r="G13" s="31">
        <v>42</v>
      </c>
      <c r="H13" s="34"/>
      <c r="I13" s="34">
        <v>46202</v>
      </c>
      <c r="J13" s="21"/>
      <c r="K13" s="21" t="s">
        <v>287</v>
      </c>
      <c r="L13" s="22" t="s">
        <v>288</v>
      </c>
      <c r="M13" s="25"/>
      <c r="N13" s="25"/>
      <c r="O13" s="25"/>
      <c r="P13" s="25"/>
      <c r="Q13" s="25"/>
      <c r="R13" s="25"/>
      <c r="S13" s="25">
        <v>614.45000000000005</v>
      </c>
      <c r="T13" s="21">
        <v>1384.16</v>
      </c>
      <c r="U13" s="21">
        <f t="shared" si="1"/>
        <v>769.71</v>
      </c>
      <c r="V13" s="27" t="s">
        <v>291</v>
      </c>
      <c r="W13" s="24" t="s">
        <v>257</v>
      </c>
      <c r="X13" s="25"/>
    </row>
    <row r="14" spans="1:25" ht="15.75" customHeight="1">
      <c r="A14" s="17">
        <v>8</v>
      </c>
      <c r="B14" s="17" t="s">
        <v>174</v>
      </c>
      <c r="C14" s="17" t="s">
        <v>35</v>
      </c>
      <c r="D14" s="17" t="s">
        <v>293</v>
      </c>
      <c r="E14" s="66">
        <v>36923</v>
      </c>
      <c r="F14" s="17">
        <v>2004</v>
      </c>
      <c r="G14" s="17">
        <v>65</v>
      </c>
      <c r="H14" s="19"/>
      <c r="I14" s="19">
        <v>46080</v>
      </c>
      <c r="J14" s="21"/>
      <c r="K14" s="21"/>
      <c r="L14" s="22"/>
      <c r="M14" s="25"/>
      <c r="N14" s="25"/>
      <c r="O14" s="25"/>
      <c r="P14" s="25"/>
      <c r="Q14" s="25"/>
      <c r="R14" s="25"/>
      <c r="S14" s="25"/>
      <c r="T14" s="21"/>
      <c r="U14" s="21"/>
      <c r="V14" s="27"/>
      <c r="W14" s="24"/>
      <c r="X14" s="25"/>
    </row>
    <row r="15" spans="1:25" ht="15.75" customHeight="1">
      <c r="A15" s="31">
        <v>9</v>
      </c>
      <c r="B15" s="31" t="s">
        <v>174</v>
      </c>
      <c r="C15" s="31" t="s">
        <v>35</v>
      </c>
      <c r="D15" s="31" t="s">
        <v>297</v>
      </c>
      <c r="E15" s="37">
        <v>37712</v>
      </c>
      <c r="F15" s="31" t="s">
        <v>261</v>
      </c>
      <c r="G15" s="31">
        <v>151</v>
      </c>
      <c r="H15" s="31" t="s">
        <v>300</v>
      </c>
      <c r="I15" s="34">
        <v>46200</v>
      </c>
      <c r="J15" s="27" t="s">
        <v>302</v>
      </c>
      <c r="K15" s="68" t="s">
        <v>306</v>
      </c>
      <c r="L15" s="22" t="s">
        <v>309</v>
      </c>
      <c r="M15" s="42"/>
      <c r="N15" s="42" t="s">
        <v>71</v>
      </c>
      <c r="O15" s="42"/>
      <c r="P15" s="42"/>
      <c r="Q15" s="42"/>
      <c r="R15" s="42"/>
      <c r="S15" s="42">
        <v>528.65</v>
      </c>
      <c r="T15" s="38">
        <v>3991.33</v>
      </c>
      <c r="U15" s="38">
        <f>T15-S15</f>
        <v>3462.68</v>
      </c>
      <c r="V15" s="27" t="s">
        <v>319</v>
      </c>
      <c r="W15" s="24" t="s">
        <v>90</v>
      </c>
      <c r="X15" s="25"/>
    </row>
    <row r="16" spans="1:25" ht="15.75" customHeight="1">
      <c r="A16" s="31">
        <v>10</v>
      </c>
      <c r="B16" s="31" t="s">
        <v>174</v>
      </c>
      <c r="C16" s="31" t="s">
        <v>35</v>
      </c>
      <c r="D16" s="31" t="s">
        <v>321</v>
      </c>
      <c r="E16" s="37">
        <v>39692</v>
      </c>
      <c r="F16" s="31" t="s">
        <v>322</v>
      </c>
      <c r="G16" s="31">
        <v>189</v>
      </c>
      <c r="H16" s="31"/>
      <c r="I16" s="31" t="s">
        <v>107</v>
      </c>
      <c r="J16" s="21"/>
      <c r="K16" s="21" t="s">
        <v>327</v>
      </c>
      <c r="L16" s="22" t="s">
        <v>24</v>
      </c>
      <c r="M16" s="25"/>
      <c r="N16" s="25"/>
      <c r="O16" s="25"/>
      <c r="P16" s="25"/>
      <c r="Q16" s="25"/>
      <c r="R16" s="25"/>
      <c r="S16" s="25">
        <v>678.62</v>
      </c>
      <c r="T16" s="21"/>
      <c r="U16" s="21"/>
      <c r="V16" s="27"/>
      <c r="W16" s="24"/>
      <c r="X16" s="25"/>
    </row>
    <row r="17" spans="1:24" ht="15.75" customHeight="1">
      <c r="A17" s="31">
        <v>11</v>
      </c>
      <c r="B17" s="31" t="s">
        <v>174</v>
      </c>
      <c r="C17" s="31" t="s">
        <v>35</v>
      </c>
      <c r="D17" s="31" t="s">
        <v>332</v>
      </c>
      <c r="E17" s="37">
        <v>39692</v>
      </c>
      <c r="F17" s="31">
        <v>2018</v>
      </c>
      <c r="G17" s="31">
        <v>96</v>
      </c>
      <c r="H17" s="34">
        <v>46105</v>
      </c>
      <c r="I17" s="34">
        <v>46109</v>
      </c>
      <c r="J17" s="27" t="s">
        <v>335</v>
      </c>
      <c r="K17" s="27" t="s">
        <v>336</v>
      </c>
      <c r="L17" s="22" t="s">
        <v>22</v>
      </c>
      <c r="M17" s="42"/>
      <c r="N17" s="42" t="s">
        <v>71</v>
      </c>
      <c r="O17" s="42"/>
      <c r="P17" s="42"/>
      <c r="Q17" s="42"/>
      <c r="R17" s="42"/>
      <c r="S17" s="42">
        <v>1605.17</v>
      </c>
      <c r="T17" s="38">
        <v>4020.63</v>
      </c>
      <c r="U17" s="38">
        <f>T17-S17</f>
        <v>2415.46</v>
      </c>
      <c r="V17" s="27" t="s">
        <v>346</v>
      </c>
      <c r="W17" s="24" t="s">
        <v>211</v>
      </c>
      <c r="X17" s="25"/>
    </row>
    <row r="18" spans="1:24" ht="15.75" customHeight="1">
      <c r="A18" s="31">
        <v>12</v>
      </c>
      <c r="B18" s="31" t="s">
        <v>174</v>
      </c>
      <c r="C18" s="31" t="s">
        <v>35</v>
      </c>
      <c r="D18" s="31" t="s">
        <v>348</v>
      </c>
      <c r="E18" s="37">
        <v>39295</v>
      </c>
      <c r="F18" s="31" t="s">
        <v>350</v>
      </c>
      <c r="G18" s="31">
        <v>58</v>
      </c>
      <c r="H18" s="31" t="s">
        <v>107</v>
      </c>
      <c r="I18" s="31" t="s">
        <v>107</v>
      </c>
      <c r="J18" s="21" t="s">
        <v>107</v>
      </c>
      <c r="K18" s="21" t="s">
        <v>357</v>
      </c>
      <c r="L18" s="22" t="s">
        <v>66</v>
      </c>
      <c r="M18" s="25"/>
      <c r="N18" s="57"/>
      <c r="O18" s="25"/>
      <c r="P18" s="25"/>
      <c r="Q18" s="25"/>
      <c r="R18" s="25"/>
      <c r="S18" s="25">
        <v>42.99</v>
      </c>
      <c r="T18" s="21" t="s">
        <v>107</v>
      </c>
      <c r="U18" s="21" t="s">
        <v>107</v>
      </c>
      <c r="V18" s="27" t="s">
        <v>359</v>
      </c>
      <c r="W18" s="24" t="s">
        <v>243</v>
      </c>
      <c r="X18" s="25"/>
    </row>
    <row r="19" spans="1:24" ht="15.75" customHeight="1">
      <c r="A19" s="31">
        <v>13</v>
      </c>
      <c r="B19" s="23" t="s">
        <v>174</v>
      </c>
      <c r="C19" s="23" t="s">
        <v>35</v>
      </c>
      <c r="D19" s="23" t="s">
        <v>365</v>
      </c>
      <c r="E19" s="71">
        <v>38899</v>
      </c>
      <c r="F19" s="23">
        <v>2023</v>
      </c>
      <c r="G19" s="23">
        <v>28</v>
      </c>
      <c r="H19" s="26"/>
      <c r="I19" s="26">
        <v>46109</v>
      </c>
      <c r="J19" s="21"/>
      <c r="K19" s="21"/>
      <c r="L19" s="22"/>
      <c r="M19" s="25"/>
      <c r="N19" s="25"/>
      <c r="O19" s="25"/>
      <c r="P19" s="25"/>
      <c r="Q19" s="25"/>
      <c r="R19" s="25"/>
      <c r="S19" s="25"/>
      <c r="T19" s="21"/>
      <c r="U19" s="21"/>
      <c r="V19" s="27"/>
      <c r="W19" s="24"/>
      <c r="X19" s="25"/>
    </row>
    <row r="20" spans="1:24" ht="15.75" customHeight="1">
      <c r="A20" s="23">
        <v>57</v>
      </c>
      <c r="B20" s="23" t="s">
        <v>174</v>
      </c>
      <c r="C20" s="23" t="s">
        <v>49</v>
      </c>
      <c r="D20" s="23" t="s">
        <v>373</v>
      </c>
      <c r="E20" s="72">
        <v>40483</v>
      </c>
      <c r="F20" s="23">
        <v>2015</v>
      </c>
      <c r="G20" s="23">
        <v>69</v>
      </c>
      <c r="H20" s="73"/>
      <c r="I20" s="73">
        <v>46171</v>
      </c>
      <c r="J20" s="21"/>
      <c r="K20" s="21"/>
      <c r="L20" s="22"/>
      <c r="M20" s="25"/>
      <c r="N20" s="25"/>
      <c r="O20" s="25"/>
      <c r="P20" s="25"/>
      <c r="Q20" s="25"/>
      <c r="R20" s="25"/>
      <c r="S20" s="25"/>
      <c r="T20" s="21"/>
      <c r="U20" s="21"/>
      <c r="V20" s="27"/>
      <c r="W20" s="24"/>
      <c r="X20" s="25"/>
    </row>
    <row r="21" spans="1:24" ht="15.75" customHeight="1">
      <c r="A21" s="35">
        <v>14</v>
      </c>
      <c r="B21" s="35" t="s">
        <v>234</v>
      </c>
      <c r="C21" s="35" t="s">
        <v>35</v>
      </c>
      <c r="D21" s="35" t="s">
        <v>380</v>
      </c>
      <c r="E21" s="76">
        <v>36526</v>
      </c>
      <c r="F21" s="35">
        <v>2009</v>
      </c>
      <c r="G21" s="35">
        <v>82</v>
      </c>
      <c r="H21" s="35" t="s">
        <v>382</v>
      </c>
      <c r="I21" s="36">
        <v>46108</v>
      </c>
      <c r="J21" s="27" t="s">
        <v>385</v>
      </c>
      <c r="K21" s="27" t="s">
        <v>387</v>
      </c>
      <c r="L21" s="22" t="s">
        <v>40</v>
      </c>
      <c r="M21" s="42"/>
      <c r="N21" s="42"/>
      <c r="O21" s="42"/>
      <c r="P21" s="42"/>
      <c r="Q21" s="42"/>
      <c r="R21" s="42"/>
      <c r="S21" s="42">
        <v>1542</v>
      </c>
      <c r="T21" s="38">
        <v>1680</v>
      </c>
      <c r="U21" s="38">
        <f>T21-S21</f>
        <v>138</v>
      </c>
      <c r="V21" s="79" t="s">
        <v>393</v>
      </c>
      <c r="W21" s="81" t="s">
        <v>91</v>
      </c>
      <c r="X21" s="25"/>
    </row>
    <row r="22" spans="1:24" ht="15.75" customHeight="1">
      <c r="A22" s="23">
        <v>15</v>
      </c>
      <c r="B22" s="23" t="s">
        <v>234</v>
      </c>
      <c r="C22" s="23" t="s">
        <v>35</v>
      </c>
      <c r="D22" s="23" t="s">
        <v>397</v>
      </c>
      <c r="E22" s="71">
        <v>39295</v>
      </c>
      <c r="F22" s="23">
        <v>2008</v>
      </c>
      <c r="G22" s="23">
        <v>77</v>
      </c>
      <c r="H22" s="23" t="s">
        <v>398</v>
      </c>
      <c r="I22" s="26">
        <v>46112</v>
      </c>
      <c r="J22" s="27" t="s">
        <v>399</v>
      </c>
      <c r="K22" s="21" t="s">
        <v>402</v>
      </c>
      <c r="L22" s="22" t="s">
        <v>24</v>
      </c>
      <c r="M22" s="42"/>
      <c r="N22" s="42"/>
      <c r="O22" s="42"/>
      <c r="P22" s="42"/>
      <c r="Q22" s="42"/>
      <c r="R22" s="42"/>
      <c r="S22" s="42">
        <v>291</v>
      </c>
      <c r="T22" s="38">
        <v>291</v>
      </c>
      <c r="U22" s="38">
        <v>0</v>
      </c>
      <c r="V22" s="79"/>
      <c r="W22" s="81"/>
      <c r="X22" s="25"/>
    </row>
    <row r="23" spans="1:24" ht="15.75" customHeight="1">
      <c r="A23" s="23">
        <v>16</v>
      </c>
      <c r="B23" s="23" t="s">
        <v>234</v>
      </c>
      <c r="C23" s="23" t="s">
        <v>35</v>
      </c>
      <c r="D23" s="23" t="s">
        <v>411</v>
      </c>
      <c r="E23" s="23" t="s">
        <v>412</v>
      </c>
      <c r="F23" s="23">
        <v>2018</v>
      </c>
      <c r="G23" s="23">
        <v>97</v>
      </c>
      <c r="H23" s="26">
        <v>46230</v>
      </c>
      <c r="I23" s="26">
        <v>46110</v>
      </c>
      <c r="J23" s="21" t="s">
        <v>413</v>
      </c>
      <c r="K23" s="21" t="s">
        <v>22</v>
      </c>
      <c r="L23" s="22" t="s">
        <v>22</v>
      </c>
      <c r="M23" s="25"/>
      <c r="N23" s="57" t="s">
        <v>71</v>
      </c>
      <c r="O23" s="25"/>
      <c r="P23" s="25"/>
      <c r="Q23" s="25"/>
      <c r="R23" s="25"/>
      <c r="S23" s="25">
        <v>2138</v>
      </c>
      <c r="T23" s="21">
        <v>2138</v>
      </c>
      <c r="U23" s="21">
        <v>0</v>
      </c>
      <c r="V23" s="79"/>
      <c r="W23" s="81"/>
      <c r="X23" s="25"/>
    </row>
    <row r="24" spans="1:24" ht="15.75" customHeight="1">
      <c r="A24" s="23">
        <v>58</v>
      </c>
      <c r="B24" s="23" t="s">
        <v>245</v>
      </c>
      <c r="C24" s="23" t="s">
        <v>49</v>
      </c>
      <c r="D24" s="23" t="s">
        <v>419</v>
      </c>
      <c r="E24" s="72">
        <v>40087</v>
      </c>
      <c r="F24" s="23">
        <v>2021</v>
      </c>
      <c r="G24" s="23">
        <v>284</v>
      </c>
      <c r="H24" s="26"/>
      <c r="I24" s="26">
        <v>46384</v>
      </c>
      <c r="J24" s="21"/>
      <c r="K24" s="21"/>
      <c r="L24" s="22"/>
      <c r="M24" s="25"/>
      <c r="N24" s="25"/>
      <c r="O24" s="25"/>
      <c r="P24" s="25"/>
      <c r="Q24" s="25"/>
      <c r="R24" s="25"/>
      <c r="S24" s="25">
        <v>2294.63</v>
      </c>
      <c r="T24" s="21">
        <v>2912.96</v>
      </c>
      <c r="U24" s="58">
        <f t="shared" ref="U24:U25" si="2">T24-S24</f>
        <v>618.32999999999993</v>
      </c>
      <c r="V24" s="79"/>
      <c r="W24" s="81"/>
      <c r="X24" s="25"/>
    </row>
    <row r="25" spans="1:24" ht="15.75" customHeight="1">
      <c r="A25" s="23">
        <v>59</v>
      </c>
      <c r="B25" s="23" t="s">
        <v>245</v>
      </c>
      <c r="C25" s="23" t="s">
        <v>49</v>
      </c>
      <c r="D25" s="23" t="s">
        <v>427</v>
      </c>
      <c r="E25" s="72">
        <v>40483</v>
      </c>
      <c r="F25" s="23">
        <v>2022</v>
      </c>
      <c r="G25" s="23">
        <v>145</v>
      </c>
      <c r="H25" s="26"/>
      <c r="I25" s="26">
        <v>46385</v>
      </c>
      <c r="J25" s="21"/>
      <c r="K25" s="21"/>
      <c r="L25" s="22"/>
      <c r="M25" s="25"/>
      <c r="N25" s="25"/>
      <c r="O25" s="25"/>
      <c r="P25" s="25"/>
      <c r="Q25" s="25"/>
      <c r="R25" s="25"/>
      <c r="S25" s="25">
        <v>212.23</v>
      </c>
      <c r="T25" s="21">
        <v>746.83</v>
      </c>
      <c r="U25" s="58">
        <f t="shared" si="2"/>
        <v>534.6</v>
      </c>
      <c r="V25" s="79"/>
      <c r="W25" s="81"/>
      <c r="X25" s="25"/>
    </row>
    <row r="26" spans="1:24" ht="15.75" customHeight="1">
      <c r="A26" s="23">
        <v>17</v>
      </c>
      <c r="B26" s="23" t="s">
        <v>294</v>
      </c>
      <c r="C26" s="23" t="s">
        <v>35</v>
      </c>
      <c r="D26" s="23" t="s">
        <v>435</v>
      </c>
      <c r="E26" s="71">
        <v>38899</v>
      </c>
      <c r="F26" s="23">
        <v>2008</v>
      </c>
      <c r="G26" s="23">
        <v>59</v>
      </c>
      <c r="H26" s="26"/>
      <c r="I26" s="26">
        <v>46385</v>
      </c>
      <c r="J26" s="21"/>
      <c r="K26" s="21"/>
      <c r="L26" s="22"/>
      <c r="M26" s="25"/>
      <c r="N26" s="25"/>
      <c r="O26" s="25"/>
      <c r="P26" s="25"/>
      <c r="Q26" s="25"/>
      <c r="R26" s="25"/>
      <c r="S26" s="25"/>
      <c r="T26" s="21"/>
      <c r="U26" s="21"/>
      <c r="V26" s="79"/>
      <c r="W26" s="81"/>
      <c r="X26" s="25"/>
    </row>
    <row r="27" spans="1:24" ht="15.75" customHeight="1">
      <c r="A27" s="17">
        <v>74</v>
      </c>
      <c r="B27" s="17" t="s">
        <v>294</v>
      </c>
      <c r="C27" s="17" t="s">
        <v>46</v>
      </c>
      <c r="D27" s="17" t="s">
        <v>440</v>
      </c>
      <c r="E27" s="17" t="s">
        <v>111</v>
      </c>
      <c r="F27" s="17">
        <v>2015</v>
      </c>
      <c r="G27" s="17">
        <v>65</v>
      </c>
      <c r="H27" s="84"/>
      <c r="I27" s="19">
        <v>46321</v>
      </c>
      <c r="J27" s="21"/>
      <c r="K27" s="21"/>
      <c r="L27" s="22"/>
      <c r="M27" s="25"/>
      <c r="N27" s="25"/>
      <c r="O27" s="25"/>
      <c r="P27" s="25"/>
      <c r="Q27" s="25"/>
      <c r="R27" s="25"/>
      <c r="S27" s="25"/>
      <c r="T27" s="21"/>
      <c r="U27" s="21"/>
      <c r="V27" s="27"/>
      <c r="W27" s="24"/>
      <c r="X27" s="25"/>
    </row>
    <row r="28" spans="1:24" ht="15.75" customHeight="1">
      <c r="A28" s="23">
        <v>18</v>
      </c>
      <c r="B28" s="23" t="s">
        <v>312</v>
      </c>
      <c r="C28" s="23" t="s">
        <v>35</v>
      </c>
      <c r="D28" s="11" t="s">
        <v>448</v>
      </c>
      <c r="E28" s="23" t="s">
        <v>450</v>
      </c>
      <c r="F28" s="23">
        <v>2008</v>
      </c>
      <c r="G28" s="23">
        <v>163</v>
      </c>
      <c r="H28" s="23" t="s">
        <v>451</v>
      </c>
      <c r="I28" s="23" t="s">
        <v>107</v>
      </c>
      <c r="J28" s="38" t="s">
        <v>72</v>
      </c>
      <c r="K28" s="27" t="s">
        <v>452</v>
      </c>
      <c r="L28" s="22" t="s">
        <v>24</v>
      </c>
      <c r="M28" s="27"/>
      <c r="N28" s="27"/>
      <c r="O28" s="27"/>
      <c r="P28" s="27"/>
      <c r="Q28" s="27"/>
      <c r="R28" s="27"/>
      <c r="S28" s="27" t="s">
        <v>453</v>
      </c>
      <c r="T28" s="27" t="s">
        <v>454</v>
      </c>
      <c r="U28" s="27" t="s">
        <v>456</v>
      </c>
      <c r="V28" s="27" t="s">
        <v>452</v>
      </c>
      <c r="W28" s="24" t="s">
        <v>243</v>
      </c>
      <c r="X28" s="24" t="s">
        <v>460</v>
      </c>
    </row>
    <row r="29" spans="1:24" ht="15.75" customHeight="1">
      <c r="A29" s="23">
        <v>19</v>
      </c>
      <c r="B29" s="23" t="s">
        <v>312</v>
      </c>
      <c r="C29" s="23" t="s">
        <v>35</v>
      </c>
      <c r="D29" s="23" t="s">
        <v>461</v>
      </c>
      <c r="E29" s="71">
        <v>37712</v>
      </c>
      <c r="F29" s="23" t="s">
        <v>462</v>
      </c>
      <c r="G29" s="23">
        <v>111</v>
      </c>
      <c r="H29" s="26">
        <v>46382</v>
      </c>
      <c r="I29" s="26">
        <v>46384</v>
      </c>
      <c r="J29" s="27" t="s">
        <v>254</v>
      </c>
      <c r="K29" s="27" t="s">
        <v>465</v>
      </c>
      <c r="L29" s="22" t="s">
        <v>40</v>
      </c>
      <c r="M29" s="88"/>
      <c r="N29" s="88"/>
      <c r="O29" s="88"/>
      <c r="P29" s="88"/>
      <c r="Q29" s="88"/>
      <c r="R29" s="88"/>
      <c r="S29" s="88" t="s">
        <v>467</v>
      </c>
      <c r="T29" s="27" t="s">
        <v>468</v>
      </c>
      <c r="U29" s="27" t="s">
        <v>469</v>
      </c>
      <c r="V29" s="27" t="s">
        <v>470</v>
      </c>
      <c r="W29" s="24" t="s">
        <v>472</v>
      </c>
      <c r="X29" s="25"/>
    </row>
    <row r="30" spans="1:24" ht="15.75" customHeight="1">
      <c r="A30" s="23">
        <v>20</v>
      </c>
      <c r="B30" s="23" t="s">
        <v>312</v>
      </c>
      <c r="C30" s="23" t="s">
        <v>35</v>
      </c>
      <c r="D30" s="23" t="s">
        <v>473</v>
      </c>
      <c r="E30" s="71">
        <v>38899</v>
      </c>
      <c r="F30" s="23">
        <v>2015</v>
      </c>
      <c r="G30" s="23">
        <v>82</v>
      </c>
      <c r="H30" s="26">
        <v>46107</v>
      </c>
      <c r="I30" s="26">
        <v>46385</v>
      </c>
      <c r="J30" s="27" t="s">
        <v>474</v>
      </c>
      <c r="K30" s="21" t="s">
        <v>476</v>
      </c>
      <c r="L30" s="22" t="s">
        <v>228</v>
      </c>
      <c r="M30" s="88"/>
      <c r="N30" s="42" t="s">
        <v>71</v>
      </c>
      <c r="O30" s="88"/>
      <c r="P30" s="88"/>
      <c r="Q30" s="88"/>
      <c r="R30" s="88"/>
      <c r="S30" s="88" t="s">
        <v>478</v>
      </c>
      <c r="T30" s="27" t="s">
        <v>479</v>
      </c>
      <c r="U30" s="38" t="s">
        <v>480</v>
      </c>
      <c r="V30" s="27" t="s">
        <v>481</v>
      </c>
      <c r="W30" s="24" t="s">
        <v>483</v>
      </c>
      <c r="X30" s="25"/>
    </row>
    <row r="31" spans="1:24" ht="15.75" customHeight="1">
      <c r="A31" s="23">
        <v>21</v>
      </c>
      <c r="B31" s="23" t="s">
        <v>312</v>
      </c>
      <c r="C31" s="23" t="s">
        <v>35</v>
      </c>
      <c r="D31" s="23" t="s">
        <v>484</v>
      </c>
      <c r="E31" s="71">
        <v>39692</v>
      </c>
      <c r="F31" s="23">
        <v>2015</v>
      </c>
      <c r="G31" s="23">
        <v>44</v>
      </c>
      <c r="H31" s="26">
        <v>46157</v>
      </c>
      <c r="I31" s="26">
        <v>46383</v>
      </c>
      <c r="J31" s="27" t="s">
        <v>485</v>
      </c>
      <c r="K31" s="27" t="s">
        <v>486</v>
      </c>
      <c r="L31" s="22" t="s">
        <v>41</v>
      </c>
      <c r="M31" s="89"/>
      <c r="N31" s="89" t="s">
        <v>71</v>
      </c>
      <c r="O31" s="89"/>
      <c r="P31" s="89"/>
      <c r="Q31" s="89"/>
      <c r="R31" s="89"/>
      <c r="S31" s="89" t="s">
        <v>488</v>
      </c>
      <c r="T31" s="24" t="s">
        <v>489</v>
      </c>
      <c r="U31" s="90" t="s">
        <v>490</v>
      </c>
      <c r="V31" s="27"/>
      <c r="W31" s="24"/>
      <c r="X31" s="24" t="s">
        <v>495</v>
      </c>
    </row>
    <row r="32" spans="1:24" ht="15.75" customHeight="1">
      <c r="A32" s="23">
        <v>22</v>
      </c>
      <c r="B32" s="23" t="s">
        <v>312</v>
      </c>
      <c r="C32" s="23" t="s">
        <v>35</v>
      </c>
      <c r="D32" s="23" t="s">
        <v>496</v>
      </c>
      <c r="E32" s="71">
        <v>39295</v>
      </c>
      <c r="F32" s="38"/>
      <c r="G32" s="23">
        <v>51</v>
      </c>
      <c r="H32" s="23"/>
      <c r="I32" s="23" t="s">
        <v>107</v>
      </c>
      <c r="J32" s="27" t="s">
        <v>486</v>
      </c>
      <c r="K32" s="27" t="s">
        <v>486</v>
      </c>
      <c r="L32" s="22" t="s">
        <v>24</v>
      </c>
      <c r="M32" s="91"/>
      <c r="N32" s="91"/>
      <c r="O32" s="91"/>
      <c r="P32" s="91"/>
      <c r="Q32" s="91"/>
      <c r="R32" s="91"/>
      <c r="S32" s="91" t="s">
        <v>500</v>
      </c>
      <c r="T32" s="27" t="s">
        <v>501</v>
      </c>
      <c r="U32" s="27" t="s">
        <v>502</v>
      </c>
      <c r="V32" s="27" t="s">
        <v>505</v>
      </c>
      <c r="W32" s="92" t="s">
        <v>507</v>
      </c>
      <c r="X32" s="93" t="s">
        <v>509</v>
      </c>
    </row>
    <row r="33" spans="1:24" ht="15.75" customHeight="1">
      <c r="A33" s="23">
        <v>23</v>
      </c>
      <c r="B33" s="23" t="s">
        <v>312</v>
      </c>
      <c r="C33" s="23" t="s">
        <v>35</v>
      </c>
      <c r="D33" s="23" t="s">
        <v>510</v>
      </c>
      <c r="E33" s="72">
        <v>40087</v>
      </c>
      <c r="F33" s="23">
        <v>2010</v>
      </c>
      <c r="G33" s="23">
        <v>30</v>
      </c>
      <c r="H33" s="26">
        <v>46108</v>
      </c>
      <c r="I33" s="26">
        <v>46261</v>
      </c>
      <c r="J33" s="38" t="s">
        <v>512</v>
      </c>
      <c r="K33" s="27" t="s">
        <v>513</v>
      </c>
      <c r="L33" s="22" t="s">
        <v>24</v>
      </c>
      <c r="M33" s="42"/>
      <c r="N33" s="42"/>
      <c r="O33" s="42"/>
      <c r="P33" s="42"/>
      <c r="Q33" s="42"/>
      <c r="R33" s="42"/>
      <c r="S33" s="42">
        <v>171.01</v>
      </c>
      <c r="T33" s="94">
        <v>1181.0899999999999</v>
      </c>
      <c r="U33" s="38">
        <v>1010.08</v>
      </c>
      <c r="V33" s="27" t="s">
        <v>517</v>
      </c>
      <c r="W33" s="24" t="s">
        <v>507</v>
      </c>
      <c r="X33" s="27" t="s">
        <v>519</v>
      </c>
    </row>
    <row r="34" spans="1:24" ht="15.75" customHeight="1">
      <c r="A34" s="35">
        <v>24</v>
      </c>
      <c r="B34" s="35" t="s">
        <v>312</v>
      </c>
      <c r="C34" s="35" t="s">
        <v>35</v>
      </c>
      <c r="D34" s="35" t="s">
        <v>520</v>
      </c>
      <c r="E34" s="95">
        <v>40483</v>
      </c>
      <c r="F34" s="35">
        <v>2010</v>
      </c>
      <c r="G34" s="35">
        <v>19</v>
      </c>
      <c r="H34" s="35" t="s">
        <v>522</v>
      </c>
      <c r="I34" s="36">
        <v>46382</v>
      </c>
      <c r="J34" s="21" t="s">
        <v>523</v>
      </c>
      <c r="K34" s="21" t="s">
        <v>524</v>
      </c>
      <c r="L34" s="22" t="s">
        <v>22</v>
      </c>
      <c r="M34" s="25"/>
      <c r="N34" s="57" t="s">
        <v>71</v>
      </c>
      <c r="O34" s="25"/>
      <c r="P34" s="25"/>
      <c r="Q34" s="25"/>
      <c r="R34" s="25"/>
      <c r="S34" s="25" t="s">
        <v>526</v>
      </c>
      <c r="T34" s="21" t="s">
        <v>527</v>
      </c>
      <c r="U34" s="21" t="s">
        <v>528</v>
      </c>
      <c r="V34" s="27" t="s">
        <v>529</v>
      </c>
      <c r="W34" s="24" t="s">
        <v>143</v>
      </c>
      <c r="X34" s="21" t="s">
        <v>531</v>
      </c>
    </row>
    <row r="35" spans="1:24" ht="15.75" customHeight="1">
      <c r="A35" s="23">
        <v>25</v>
      </c>
      <c r="B35" s="23" t="s">
        <v>312</v>
      </c>
      <c r="C35" s="23" t="s">
        <v>35</v>
      </c>
      <c r="D35" s="23" t="s">
        <v>532</v>
      </c>
      <c r="E35" s="72">
        <v>40087</v>
      </c>
      <c r="F35" s="38"/>
      <c r="G35" s="23">
        <v>33</v>
      </c>
      <c r="H35" s="26">
        <v>46385</v>
      </c>
      <c r="I35" s="23" t="s">
        <v>107</v>
      </c>
      <c r="J35" s="38" t="s">
        <v>107</v>
      </c>
      <c r="K35" s="27" t="s">
        <v>513</v>
      </c>
      <c r="L35" s="22" t="s">
        <v>24</v>
      </c>
      <c r="M35" s="42"/>
      <c r="N35" s="42"/>
      <c r="O35" s="42"/>
      <c r="P35" s="42"/>
      <c r="Q35" s="42"/>
      <c r="R35" s="42"/>
      <c r="S35" s="42">
        <v>205.41</v>
      </c>
      <c r="T35" s="38">
        <v>997.09</v>
      </c>
      <c r="U35" s="38">
        <v>791.68</v>
      </c>
      <c r="V35" s="27" t="s">
        <v>536</v>
      </c>
      <c r="W35" s="24" t="s">
        <v>537</v>
      </c>
      <c r="X35" s="27" t="s">
        <v>540</v>
      </c>
    </row>
    <row r="36" spans="1:24" ht="15.75" customHeight="1">
      <c r="A36" s="35">
        <v>26</v>
      </c>
      <c r="B36" s="35" t="s">
        <v>312</v>
      </c>
      <c r="C36" s="35" t="s">
        <v>35</v>
      </c>
      <c r="D36" s="35" t="s">
        <v>541</v>
      </c>
      <c r="E36" s="95">
        <v>40483</v>
      </c>
      <c r="F36" s="35">
        <v>2016</v>
      </c>
      <c r="G36" s="35">
        <v>27</v>
      </c>
      <c r="H36" s="96" t="s">
        <v>542</v>
      </c>
      <c r="I36" s="36">
        <v>46049</v>
      </c>
      <c r="J36" s="27" t="s">
        <v>209</v>
      </c>
      <c r="K36" s="27" t="s">
        <v>544</v>
      </c>
      <c r="L36" s="22" t="s">
        <v>40</v>
      </c>
      <c r="M36" s="42"/>
      <c r="N36" s="42"/>
      <c r="O36" s="42"/>
      <c r="P36" s="42"/>
      <c r="Q36" s="42"/>
      <c r="R36" s="42"/>
      <c r="S36" s="42">
        <v>414.85</v>
      </c>
      <c r="T36" s="38">
        <v>1249.3499999999999</v>
      </c>
      <c r="U36" s="38">
        <f>T36-S36</f>
        <v>834.49999999999989</v>
      </c>
      <c r="V36" s="27" t="s">
        <v>549</v>
      </c>
      <c r="W36" s="24" t="s">
        <v>90</v>
      </c>
      <c r="X36" s="27" t="s">
        <v>551</v>
      </c>
    </row>
    <row r="37" spans="1:24" ht="15.75" customHeight="1">
      <c r="A37" s="23">
        <v>60</v>
      </c>
      <c r="B37" s="23" t="s">
        <v>312</v>
      </c>
      <c r="C37" s="23" t="s">
        <v>49</v>
      </c>
      <c r="D37" s="23" t="s">
        <v>552</v>
      </c>
      <c r="E37" s="23" t="s">
        <v>52</v>
      </c>
      <c r="F37" s="98"/>
      <c r="G37" s="23">
        <v>454</v>
      </c>
      <c r="H37" s="26"/>
      <c r="I37" s="26">
        <v>46142</v>
      </c>
      <c r="J37" s="38" t="s">
        <v>72</v>
      </c>
      <c r="K37" s="21" t="s">
        <v>554</v>
      </c>
      <c r="L37" s="22" t="s">
        <v>288</v>
      </c>
      <c r="M37" s="25"/>
      <c r="N37" s="25"/>
      <c r="O37" s="25"/>
      <c r="P37" s="25"/>
      <c r="Q37" s="25"/>
      <c r="R37" s="25"/>
      <c r="S37" s="25" t="s">
        <v>555</v>
      </c>
      <c r="T37" s="38" t="s">
        <v>556</v>
      </c>
      <c r="U37" s="21" t="s">
        <v>107</v>
      </c>
      <c r="V37" s="27" t="s">
        <v>72</v>
      </c>
      <c r="W37" s="24"/>
      <c r="X37" s="25"/>
    </row>
    <row r="38" spans="1:24" ht="15.75" customHeight="1">
      <c r="A38" s="23">
        <v>61</v>
      </c>
      <c r="B38" s="23" t="s">
        <v>312</v>
      </c>
      <c r="C38" s="23" t="s">
        <v>49</v>
      </c>
      <c r="D38" s="11" t="s">
        <v>558</v>
      </c>
      <c r="E38" s="71">
        <v>36923</v>
      </c>
      <c r="F38" s="23">
        <v>2011</v>
      </c>
      <c r="G38" s="23">
        <v>280</v>
      </c>
      <c r="H38" s="23" t="s">
        <v>107</v>
      </c>
      <c r="I38" s="23" t="s">
        <v>107</v>
      </c>
      <c r="J38" s="38" t="s">
        <v>72</v>
      </c>
      <c r="K38" s="99" t="s">
        <v>560</v>
      </c>
      <c r="L38" s="22" t="s">
        <v>24</v>
      </c>
      <c r="M38" s="42"/>
      <c r="N38" s="42"/>
      <c r="O38" s="42"/>
      <c r="P38" s="42"/>
      <c r="Q38" s="42"/>
      <c r="R38" s="42"/>
      <c r="S38" s="42" t="s">
        <v>562</v>
      </c>
      <c r="T38" s="38" t="s">
        <v>563</v>
      </c>
      <c r="U38" s="38" t="s">
        <v>107</v>
      </c>
      <c r="V38" s="27" t="s">
        <v>564</v>
      </c>
      <c r="W38" s="24" t="s">
        <v>243</v>
      </c>
      <c r="X38" s="25"/>
    </row>
    <row r="39" spans="1:24" ht="15.75" customHeight="1">
      <c r="A39" s="49">
        <v>27</v>
      </c>
      <c r="B39" s="49" t="s">
        <v>318</v>
      </c>
      <c r="C39" s="49" t="s">
        <v>35</v>
      </c>
      <c r="D39" s="49" t="s">
        <v>566</v>
      </c>
      <c r="E39" s="49" t="s">
        <v>567</v>
      </c>
      <c r="F39" s="49" t="s">
        <v>568</v>
      </c>
      <c r="G39" s="49">
        <v>123</v>
      </c>
      <c r="H39" s="50">
        <v>46381</v>
      </c>
      <c r="I39" s="50">
        <v>46383</v>
      </c>
      <c r="J39" s="21" t="s">
        <v>254</v>
      </c>
      <c r="K39" s="21" t="s">
        <v>570</v>
      </c>
      <c r="L39" s="22" t="s">
        <v>66</v>
      </c>
      <c r="M39" s="25"/>
      <c r="N39" s="57" t="s">
        <v>71</v>
      </c>
      <c r="O39" s="25"/>
      <c r="P39" s="25"/>
      <c r="Q39" s="25"/>
      <c r="R39" s="25"/>
      <c r="S39" s="25">
        <v>72.489999999999995</v>
      </c>
      <c r="T39" s="21">
        <v>4076.15</v>
      </c>
      <c r="U39" s="21">
        <v>4003.66</v>
      </c>
      <c r="V39" s="27"/>
      <c r="W39" s="24"/>
      <c r="X39" s="25"/>
    </row>
    <row r="40" spans="1:24" ht="15.75" customHeight="1">
      <c r="A40" s="49">
        <v>28</v>
      </c>
      <c r="B40" s="49" t="s">
        <v>318</v>
      </c>
      <c r="C40" s="49" t="s">
        <v>35</v>
      </c>
      <c r="D40" s="49" t="s">
        <v>572</v>
      </c>
      <c r="E40" s="100">
        <v>39295</v>
      </c>
      <c r="F40" s="49">
        <v>2018</v>
      </c>
      <c r="G40" s="49">
        <v>28</v>
      </c>
      <c r="H40" s="50">
        <v>46382</v>
      </c>
      <c r="I40" s="50">
        <v>46383</v>
      </c>
      <c r="J40" s="24" t="s">
        <v>192</v>
      </c>
      <c r="K40" s="24" t="s">
        <v>574</v>
      </c>
      <c r="L40" s="22" t="s">
        <v>40</v>
      </c>
      <c r="M40" s="24"/>
      <c r="N40" s="24"/>
      <c r="O40" s="24"/>
      <c r="P40" s="24"/>
      <c r="Q40" s="24"/>
      <c r="R40" s="24"/>
      <c r="S40" s="24" t="s">
        <v>576</v>
      </c>
      <c r="T40" s="24" t="s">
        <v>576</v>
      </c>
      <c r="U40" s="24" t="s">
        <v>86</v>
      </c>
      <c r="V40" s="27" t="s">
        <v>72</v>
      </c>
      <c r="W40" s="24"/>
      <c r="X40" s="24" t="s">
        <v>577</v>
      </c>
    </row>
    <row r="41" spans="1:24" ht="15.75" customHeight="1">
      <c r="A41" s="49">
        <v>29</v>
      </c>
      <c r="B41" s="49" t="s">
        <v>318</v>
      </c>
      <c r="C41" s="49" t="s">
        <v>35</v>
      </c>
      <c r="D41" s="49" t="s">
        <v>579</v>
      </c>
      <c r="E41" s="100">
        <v>39295</v>
      </c>
      <c r="F41" s="49">
        <v>2019</v>
      </c>
      <c r="G41" s="49">
        <v>63</v>
      </c>
      <c r="H41" s="50">
        <v>46382</v>
      </c>
      <c r="I41" s="50">
        <v>46383</v>
      </c>
      <c r="J41" s="27" t="s">
        <v>192</v>
      </c>
      <c r="K41" s="21" t="s">
        <v>580</v>
      </c>
      <c r="L41" s="22" t="s">
        <v>309</v>
      </c>
      <c r="M41" s="25"/>
      <c r="N41" s="57" t="s">
        <v>71</v>
      </c>
      <c r="O41" s="25"/>
      <c r="P41" s="25"/>
      <c r="Q41" s="25"/>
      <c r="R41" s="25"/>
      <c r="S41" s="25"/>
      <c r="T41" s="21"/>
      <c r="U41" s="21"/>
      <c r="V41" s="27"/>
      <c r="W41" s="24"/>
      <c r="X41" s="25"/>
    </row>
    <row r="42" spans="1:24" ht="15.75" customHeight="1">
      <c r="A42" s="49">
        <v>30</v>
      </c>
      <c r="B42" s="49" t="s">
        <v>318</v>
      </c>
      <c r="C42" s="49" t="s">
        <v>35</v>
      </c>
      <c r="D42" s="49" t="s">
        <v>582</v>
      </c>
      <c r="E42" s="101">
        <v>40087</v>
      </c>
      <c r="F42" s="49">
        <v>2016</v>
      </c>
      <c r="G42" s="49">
        <v>125</v>
      </c>
      <c r="H42" s="50">
        <v>46384</v>
      </c>
      <c r="I42" s="50">
        <v>46384</v>
      </c>
      <c r="J42" s="102"/>
      <c r="K42" s="103" t="s">
        <v>585</v>
      </c>
      <c r="L42" s="22" t="s">
        <v>87</v>
      </c>
      <c r="M42" s="104"/>
      <c r="N42" s="104"/>
      <c r="O42" s="104"/>
      <c r="P42" s="104"/>
      <c r="Q42" s="104"/>
      <c r="R42" s="104"/>
      <c r="S42" s="104">
        <v>16216.31</v>
      </c>
      <c r="T42" s="102">
        <v>37447.699999999997</v>
      </c>
      <c r="U42" s="102">
        <f>T42-S42</f>
        <v>21231.39</v>
      </c>
      <c r="V42" s="27" t="s">
        <v>587</v>
      </c>
      <c r="W42" s="24" t="s">
        <v>588</v>
      </c>
      <c r="X42" s="24" t="s">
        <v>589</v>
      </c>
    </row>
    <row r="43" spans="1:24" ht="15.75" customHeight="1">
      <c r="A43" s="49">
        <v>31</v>
      </c>
      <c r="B43" s="49" t="s">
        <v>318</v>
      </c>
      <c r="C43" s="49" t="s">
        <v>35</v>
      </c>
      <c r="D43" s="49" t="s">
        <v>591</v>
      </c>
      <c r="E43" s="101">
        <v>40878</v>
      </c>
      <c r="F43" s="49">
        <v>2026</v>
      </c>
      <c r="G43" s="49">
        <v>40</v>
      </c>
      <c r="H43" s="49"/>
      <c r="I43" s="49" t="s">
        <v>107</v>
      </c>
      <c r="J43" s="21"/>
      <c r="K43" s="21"/>
      <c r="L43" s="22"/>
      <c r="M43" s="25"/>
      <c r="N43" s="25"/>
      <c r="O43" s="25"/>
      <c r="P43" s="25"/>
      <c r="Q43" s="25"/>
      <c r="R43" s="25"/>
      <c r="S43" s="25"/>
      <c r="T43" s="21"/>
      <c r="U43" s="21"/>
      <c r="V43" s="27"/>
      <c r="W43" s="24"/>
      <c r="X43" s="25"/>
    </row>
    <row r="44" spans="1:24" ht="15.75" customHeight="1">
      <c r="A44" s="31">
        <v>75</v>
      </c>
      <c r="B44" s="31" t="s">
        <v>318</v>
      </c>
      <c r="C44" s="31" t="s">
        <v>46</v>
      </c>
      <c r="D44" s="3" t="s">
        <v>593</v>
      </c>
      <c r="E44" s="45">
        <v>40087</v>
      </c>
      <c r="F44" s="31">
        <v>2010</v>
      </c>
      <c r="G44" s="31">
        <v>80</v>
      </c>
      <c r="H44" s="31"/>
      <c r="I44" s="31" t="s">
        <v>107</v>
      </c>
      <c r="J44" s="21"/>
      <c r="K44" s="21"/>
      <c r="L44" s="22"/>
      <c r="M44" s="21"/>
      <c r="N44" s="21"/>
      <c r="O44" s="21"/>
      <c r="P44" s="21"/>
      <c r="Q44" s="21"/>
      <c r="R44" s="21"/>
      <c r="S44" s="21"/>
      <c r="T44" s="21"/>
      <c r="U44" s="21"/>
      <c r="V44" s="27"/>
      <c r="W44" s="24"/>
      <c r="X44" s="25"/>
    </row>
    <row r="45" spans="1:24" ht="15.75" customHeight="1">
      <c r="A45" s="74">
        <v>76</v>
      </c>
      <c r="B45" s="74" t="s">
        <v>318</v>
      </c>
      <c r="C45" s="74" t="s">
        <v>46</v>
      </c>
      <c r="D45" s="74" t="s">
        <v>596</v>
      </c>
      <c r="E45" s="74" t="s">
        <v>111</v>
      </c>
      <c r="F45" s="74">
        <v>2016</v>
      </c>
      <c r="G45" s="74">
        <v>20</v>
      </c>
      <c r="H45" s="105">
        <v>46104</v>
      </c>
      <c r="I45" s="75">
        <v>46201</v>
      </c>
      <c r="J45" s="106" t="s">
        <v>598</v>
      </c>
      <c r="K45" s="24" t="s">
        <v>599</v>
      </c>
      <c r="L45" s="22" t="s">
        <v>45</v>
      </c>
      <c r="M45" s="21"/>
      <c r="N45" s="21"/>
      <c r="O45" s="21"/>
      <c r="P45" s="21"/>
      <c r="Q45" s="21"/>
      <c r="R45" s="21"/>
      <c r="S45" s="21" t="s">
        <v>600</v>
      </c>
      <c r="T45" s="107">
        <v>7018808000</v>
      </c>
      <c r="U45" s="107">
        <v>4062008000</v>
      </c>
      <c r="V45" s="27" t="s">
        <v>602</v>
      </c>
      <c r="W45" s="24" t="s">
        <v>604</v>
      </c>
      <c r="X45" s="25"/>
    </row>
    <row r="46" spans="1:24" ht="15.75" customHeight="1">
      <c r="A46" s="23">
        <v>62</v>
      </c>
      <c r="B46" s="23" t="s">
        <v>333</v>
      </c>
      <c r="C46" s="23" t="s">
        <v>49</v>
      </c>
      <c r="D46" s="11" t="s">
        <v>605</v>
      </c>
      <c r="E46" s="23" t="s">
        <v>39</v>
      </c>
      <c r="F46" s="108">
        <v>2.0002002200820101E+19</v>
      </c>
      <c r="G46" s="23">
        <v>420</v>
      </c>
      <c r="H46" s="26"/>
      <c r="I46" s="26">
        <v>46383</v>
      </c>
      <c r="J46" s="21"/>
      <c r="K46" s="21"/>
      <c r="L46" s="22"/>
      <c r="M46" s="25"/>
      <c r="N46" s="25"/>
      <c r="O46" s="25"/>
      <c r="P46" s="25"/>
      <c r="Q46" s="25"/>
      <c r="R46" s="25"/>
      <c r="S46" s="25"/>
      <c r="T46" s="21"/>
      <c r="U46" s="21"/>
      <c r="V46" s="27" t="s">
        <v>609</v>
      </c>
      <c r="W46" s="24"/>
      <c r="X46" s="25"/>
    </row>
    <row r="47" spans="1:24" ht="15.75" customHeight="1">
      <c r="A47" s="49">
        <v>33</v>
      </c>
      <c r="B47" s="49" t="s">
        <v>339</v>
      </c>
      <c r="C47" s="49" t="s">
        <v>35</v>
      </c>
      <c r="D47" s="49" t="s">
        <v>614</v>
      </c>
      <c r="E47" s="100">
        <v>38504</v>
      </c>
      <c r="F47" s="49">
        <v>2016</v>
      </c>
      <c r="G47" s="49">
        <v>151</v>
      </c>
      <c r="H47" s="50"/>
      <c r="I47" s="50">
        <v>46202</v>
      </c>
      <c r="J47" s="21"/>
      <c r="K47" s="21"/>
      <c r="L47" s="22"/>
      <c r="M47" s="25"/>
      <c r="N47" s="25"/>
      <c r="O47" s="25"/>
      <c r="P47" s="25"/>
      <c r="Q47" s="25"/>
      <c r="R47" s="25"/>
      <c r="S47" s="25"/>
      <c r="T47" s="21"/>
      <c r="U47" s="21"/>
      <c r="V47" s="27"/>
      <c r="W47" s="24"/>
      <c r="X47" s="25"/>
    </row>
    <row r="48" spans="1:24" ht="15.75" customHeight="1">
      <c r="A48" s="49">
        <v>34</v>
      </c>
      <c r="B48" s="49" t="s">
        <v>339</v>
      </c>
      <c r="C48" s="49" t="s">
        <v>35</v>
      </c>
      <c r="D48" s="49" t="s">
        <v>616</v>
      </c>
      <c r="E48" s="49" t="s">
        <v>111</v>
      </c>
      <c r="F48" s="49" t="s">
        <v>617</v>
      </c>
      <c r="G48" s="49">
        <v>309</v>
      </c>
      <c r="H48" s="49"/>
      <c r="I48" s="49" t="s">
        <v>504</v>
      </c>
      <c r="J48" s="21"/>
      <c r="K48" s="21"/>
      <c r="L48" s="22"/>
      <c r="M48" s="25"/>
      <c r="N48" s="25"/>
      <c r="O48" s="25"/>
      <c r="P48" s="25"/>
      <c r="Q48" s="25"/>
      <c r="R48" s="25"/>
      <c r="S48" s="25"/>
      <c r="T48" s="21"/>
      <c r="U48" s="21"/>
      <c r="V48" s="27"/>
      <c r="W48" s="24"/>
      <c r="X48" s="25"/>
    </row>
    <row r="49" spans="1:24" ht="15.75" customHeight="1">
      <c r="A49" s="63">
        <v>35</v>
      </c>
      <c r="B49" s="63" t="s">
        <v>367</v>
      </c>
      <c r="C49" s="63" t="s">
        <v>35</v>
      </c>
      <c r="D49" s="63" t="s">
        <v>622</v>
      </c>
      <c r="E49" s="63" t="s">
        <v>111</v>
      </c>
      <c r="F49" s="63">
        <v>2025</v>
      </c>
      <c r="G49" s="63">
        <v>122</v>
      </c>
      <c r="H49" s="65"/>
      <c r="I49" s="65">
        <v>46108</v>
      </c>
      <c r="J49" s="21"/>
      <c r="K49" s="21"/>
      <c r="L49" s="22"/>
      <c r="M49" s="25"/>
      <c r="N49" s="25"/>
      <c r="O49" s="25"/>
      <c r="P49" s="25"/>
      <c r="Q49" s="25"/>
      <c r="R49" s="25"/>
      <c r="S49" s="25"/>
      <c r="T49" s="21"/>
      <c r="U49" s="21"/>
      <c r="V49" s="27"/>
      <c r="W49" s="24"/>
      <c r="X49" s="25"/>
    </row>
    <row r="50" spans="1:24" ht="15.75" customHeight="1">
      <c r="A50" s="63">
        <v>36</v>
      </c>
      <c r="B50" s="63" t="s">
        <v>367</v>
      </c>
      <c r="C50" s="63" t="s">
        <v>35</v>
      </c>
      <c r="D50" s="63" t="s">
        <v>628</v>
      </c>
      <c r="E50" s="110">
        <v>40878</v>
      </c>
      <c r="F50" s="63">
        <v>2017</v>
      </c>
      <c r="G50" s="63">
        <v>52</v>
      </c>
      <c r="H50" s="65"/>
      <c r="I50" s="65">
        <v>46108</v>
      </c>
      <c r="J50" s="21"/>
      <c r="K50" s="21"/>
      <c r="L50" s="22"/>
      <c r="M50" s="25"/>
      <c r="N50" s="25"/>
      <c r="O50" s="25"/>
      <c r="P50" s="25"/>
      <c r="Q50" s="25"/>
      <c r="R50" s="25"/>
      <c r="S50" s="25"/>
      <c r="T50" s="21"/>
      <c r="U50" s="21"/>
      <c r="V50" s="27"/>
      <c r="W50" s="24"/>
      <c r="X50" s="25"/>
    </row>
    <row r="51" spans="1:24" ht="15.75" customHeight="1">
      <c r="A51" s="63">
        <v>37</v>
      </c>
      <c r="B51" s="63" t="s">
        <v>367</v>
      </c>
      <c r="C51" s="63" t="s">
        <v>35</v>
      </c>
      <c r="D51" s="63" t="s">
        <v>632</v>
      </c>
      <c r="E51" s="63" t="s">
        <v>111</v>
      </c>
      <c r="F51" s="63">
        <v>2018</v>
      </c>
      <c r="G51" s="63">
        <v>135</v>
      </c>
      <c r="H51" s="65"/>
      <c r="I51" s="65">
        <v>46108</v>
      </c>
      <c r="J51" s="21"/>
      <c r="K51" s="21"/>
      <c r="L51" s="22"/>
      <c r="M51" s="25"/>
      <c r="N51" s="25"/>
      <c r="O51" s="25"/>
      <c r="P51" s="25"/>
      <c r="Q51" s="25"/>
      <c r="R51" s="25"/>
      <c r="S51" s="25"/>
      <c r="T51" s="21"/>
      <c r="U51" s="21"/>
      <c r="V51" s="27"/>
      <c r="W51" s="24"/>
      <c r="X51" s="25"/>
    </row>
    <row r="52" spans="1:24" ht="15.75" customHeight="1">
      <c r="A52" s="49">
        <v>38</v>
      </c>
      <c r="B52" s="49" t="s">
        <v>384</v>
      </c>
      <c r="C52" s="49" t="s">
        <v>35</v>
      </c>
      <c r="D52" s="13" t="s">
        <v>637</v>
      </c>
      <c r="E52" s="49" t="s">
        <v>450</v>
      </c>
      <c r="F52" s="49" t="s">
        <v>638</v>
      </c>
      <c r="G52" s="49">
        <v>18</v>
      </c>
      <c r="H52" s="38" t="s">
        <v>640</v>
      </c>
      <c r="I52" s="112">
        <v>46081</v>
      </c>
      <c r="J52" s="21"/>
      <c r="K52" s="21" t="s">
        <v>642</v>
      </c>
      <c r="L52" s="22" t="s">
        <v>22</v>
      </c>
      <c r="M52" s="25"/>
      <c r="N52" s="57" t="s">
        <v>71</v>
      </c>
      <c r="O52" s="25"/>
      <c r="P52" s="25"/>
      <c r="Q52" s="25"/>
      <c r="R52" s="25"/>
      <c r="S52" s="25">
        <v>293.97000000000003</v>
      </c>
      <c r="T52" s="21">
        <v>1291.1300000000001</v>
      </c>
      <c r="U52" s="21">
        <f t="shared" ref="U52:U53" si="3">T52-S52</f>
        <v>997.16000000000008</v>
      </c>
      <c r="V52" s="27" t="s">
        <v>644</v>
      </c>
      <c r="W52" s="24" t="s">
        <v>646</v>
      </c>
      <c r="X52" s="21" t="s">
        <v>647</v>
      </c>
    </row>
    <row r="53" spans="1:24" ht="15.75" customHeight="1">
      <c r="A53" s="49">
        <v>39</v>
      </c>
      <c r="B53" s="49" t="s">
        <v>384</v>
      </c>
      <c r="C53" s="49" t="s">
        <v>35</v>
      </c>
      <c r="D53" s="49" t="s">
        <v>648</v>
      </c>
      <c r="E53" s="101">
        <v>40483</v>
      </c>
      <c r="F53" s="49" t="s">
        <v>649</v>
      </c>
      <c r="G53" s="49">
        <v>41</v>
      </c>
      <c r="H53" s="49" t="s">
        <v>650</v>
      </c>
      <c r="I53" s="50">
        <v>46385</v>
      </c>
      <c r="J53" s="21"/>
      <c r="K53" s="21" t="s">
        <v>652</v>
      </c>
      <c r="L53" s="22" t="s">
        <v>24</v>
      </c>
      <c r="M53" s="25"/>
      <c r="N53" s="25"/>
      <c r="O53" s="25"/>
      <c r="P53" s="25"/>
      <c r="Q53" s="25"/>
      <c r="R53" s="25"/>
      <c r="S53" s="25">
        <v>352.65</v>
      </c>
      <c r="T53" s="21">
        <v>1206.6099999999999</v>
      </c>
      <c r="U53" s="21">
        <f t="shared" si="3"/>
        <v>853.95999999999992</v>
      </c>
      <c r="V53" s="27" t="s">
        <v>644</v>
      </c>
      <c r="W53" s="24" t="s">
        <v>646</v>
      </c>
      <c r="X53" s="21" t="s">
        <v>655</v>
      </c>
    </row>
    <row r="54" spans="1:24" ht="15.75" customHeight="1">
      <c r="A54" s="23">
        <v>40</v>
      </c>
      <c r="B54" s="23" t="s">
        <v>407</v>
      </c>
      <c r="C54" s="23" t="s">
        <v>35</v>
      </c>
      <c r="D54" s="23" t="s">
        <v>658</v>
      </c>
      <c r="E54" s="71">
        <v>37316</v>
      </c>
      <c r="F54" s="23">
        <v>2011</v>
      </c>
      <c r="G54" s="23">
        <v>35</v>
      </c>
      <c r="H54" s="113"/>
      <c r="I54" s="23" t="s">
        <v>107</v>
      </c>
      <c r="J54" s="21"/>
      <c r="K54" s="21"/>
      <c r="L54" s="22"/>
      <c r="M54" s="25"/>
      <c r="N54" s="25"/>
      <c r="O54" s="25"/>
      <c r="P54" s="25"/>
      <c r="Q54" s="25"/>
      <c r="R54" s="25"/>
      <c r="S54" s="25"/>
      <c r="T54" s="21"/>
      <c r="U54" s="21"/>
      <c r="V54" s="27"/>
      <c r="W54" s="24"/>
      <c r="X54" s="25"/>
    </row>
    <row r="55" spans="1:24" ht="15.75" customHeight="1">
      <c r="A55" s="23">
        <v>41</v>
      </c>
      <c r="B55" s="23" t="s">
        <v>407</v>
      </c>
      <c r="C55" s="23" t="s">
        <v>35</v>
      </c>
      <c r="D55" s="23" t="s">
        <v>659</v>
      </c>
      <c r="E55" s="23" t="s">
        <v>283</v>
      </c>
      <c r="F55" s="23">
        <v>2006</v>
      </c>
      <c r="G55" s="23">
        <v>111</v>
      </c>
      <c r="H55" s="23"/>
      <c r="I55" s="23" t="s">
        <v>107</v>
      </c>
      <c r="J55" s="21"/>
      <c r="K55" s="21"/>
      <c r="L55" s="22"/>
      <c r="M55" s="25"/>
      <c r="N55" s="25"/>
      <c r="O55" s="25"/>
      <c r="P55" s="25"/>
      <c r="Q55" s="25"/>
      <c r="R55" s="25"/>
      <c r="S55" s="25"/>
      <c r="T55" s="21"/>
      <c r="U55" s="21"/>
      <c r="V55" s="27"/>
      <c r="W55" s="24"/>
      <c r="X55" s="25"/>
    </row>
    <row r="56" spans="1:24" ht="15.75" customHeight="1">
      <c r="A56" s="23">
        <v>42</v>
      </c>
      <c r="B56" s="23" t="s">
        <v>407</v>
      </c>
      <c r="C56" s="23" t="s">
        <v>35</v>
      </c>
      <c r="D56" s="23" t="s">
        <v>663</v>
      </c>
      <c r="E56" s="71">
        <v>38899</v>
      </c>
      <c r="F56" s="23">
        <v>2008</v>
      </c>
      <c r="G56" s="23">
        <v>184</v>
      </c>
      <c r="H56" s="23"/>
      <c r="I56" s="23" t="s">
        <v>664</v>
      </c>
      <c r="J56" s="21"/>
      <c r="K56" s="21"/>
      <c r="L56" s="22"/>
      <c r="M56" s="25"/>
      <c r="N56" s="25"/>
      <c r="O56" s="25"/>
      <c r="P56" s="25"/>
      <c r="Q56" s="25"/>
      <c r="R56" s="25"/>
      <c r="S56" s="25"/>
      <c r="T56" s="21"/>
      <c r="U56" s="21"/>
      <c r="V56" s="27"/>
      <c r="W56" s="24"/>
      <c r="X56" s="25"/>
    </row>
    <row r="57" spans="1:24" ht="15.75" customHeight="1">
      <c r="A57" s="23">
        <v>43</v>
      </c>
      <c r="B57" s="23" t="s">
        <v>407</v>
      </c>
      <c r="C57" s="23" t="s">
        <v>35</v>
      </c>
      <c r="D57" s="23" t="s">
        <v>669</v>
      </c>
      <c r="E57" s="71">
        <v>38899</v>
      </c>
      <c r="F57" s="23">
        <v>2008</v>
      </c>
      <c r="G57" s="23">
        <v>71</v>
      </c>
      <c r="H57" s="23"/>
      <c r="I57" s="23" t="s">
        <v>107</v>
      </c>
      <c r="J57" s="21"/>
      <c r="K57" s="21"/>
      <c r="L57" s="22"/>
      <c r="M57" s="25"/>
      <c r="N57" s="25"/>
      <c r="O57" s="25"/>
      <c r="P57" s="25"/>
      <c r="Q57" s="25"/>
      <c r="R57" s="25"/>
      <c r="S57" s="25"/>
      <c r="T57" s="21"/>
      <c r="U57" s="21"/>
      <c r="V57" s="27"/>
      <c r="W57" s="24"/>
      <c r="X57" s="25"/>
    </row>
    <row r="58" spans="1:24" ht="15.75" customHeight="1">
      <c r="A58" s="23">
        <v>44</v>
      </c>
      <c r="B58" s="23" t="s">
        <v>407</v>
      </c>
      <c r="C58" s="23" t="s">
        <v>35</v>
      </c>
      <c r="D58" s="23" t="s">
        <v>672</v>
      </c>
      <c r="E58" s="71">
        <v>39295</v>
      </c>
      <c r="F58" s="23">
        <v>2011</v>
      </c>
      <c r="G58" s="23">
        <v>179</v>
      </c>
      <c r="H58" s="23"/>
      <c r="I58" s="23" t="s">
        <v>107</v>
      </c>
      <c r="J58" s="21"/>
      <c r="K58" s="21"/>
      <c r="L58" s="22"/>
      <c r="M58" s="25"/>
      <c r="N58" s="25"/>
      <c r="O58" s="25"/>
      <c r="P58" s="25"/>
      <c r="Q58" s="25"/>
      <c r="R58" s="25"/>
      <c r="S58" s="25"/>
      <c r="T58" s="21"/>
      <c r="U58" s="21"/>
      <c r="V58" s="27"/>
      <c r="W58" s="24"/>
      <c r="X58" s="25"/>
    </row>
    <row r="59" spans="1:24" ht="15.75" customHeight="1">
      <c r="A59" s="23">
        <v>45</v>
      </c>
      <c r="B59" s="23" t="s">
        <v>407</v>
      </c>
      <c r="C59" s="23" t="s">
        <v>35</v>
      </c>
      <c r="D59" s="23" t="s">
        <v>679</v>
      </c>
      <c r="E59" s="71">
        <v>39295</v>
      </c>
      <c r="F59" s="23">
        <v>2011</v>
      </c>
      <c r="G59" s="23">
        <v>88</v>
      </c>
      <c r="H59" s="23"/>
      <c r="I59" s="23" t="s">
        <v>107</v>
      </c>
      <c r="J59" s="21"/>
      <c r="K59" s="21"/>
      <c r="L59" s="22"/>
      <c r="M59" s="25"/>
      <c r="N59" s="25"/>
      <c r="O59" s="25"/>
      <c r="P59" s="25"/>
      <c r="Q59" s="25"/>
      <c r="R59" s="25"/>
      <c r="S59" s="25"/>
      <c r="T59" s="21"/>
      <c r="U59" s="21"/>
      <c r="V59" s="27"/>
      <c r="W59" s="24"/>
      <c r="X59" s="25"/>
    </row>
    <row r="60" spans="1:24" ht="15.75" customHeight="1">
      <c r="A60" s="23">
        <v>46</v>
      </c>
      <c r="B60" s="23" t="s">
        <v>407</v>
      </c>
      <c r="C60" s="23" t="s">
        <v>35</v>
      </c>
      <c r="D60" s="23" t="s">
        <v>685</v>
      </c>
      <c r="E60" s="72">
        <v>40483</v>
      </c>
      <c r="F60" s="23">
        <v>2014</v>
      </c>
      <c r="G60" s="23">
        <v>144</v>
      </c>
      <c r="H60" s="23"/>
      <c r="I60" s="23" t="s">
        <v>686</v>
      </c>
      <c r="J60" s="21"/>
      <c r="K60" s="21"/>
      <c r="L60" s="22"/>
      <c r="M60" s="25"/>
      <c r="N60" s="25"/>
      <c r="O60" s="25"/>
      <c r="P60" s="25"/>
      <c r="Q60" s="25"/>
      <c r="R60" s="25"/>
      <c r="S60" s="25"/>
      <c r="T60" s="21"/>
      <c r="U60" s="21"/>
      <c r="V60" s="27"/>
      <c r="W60" s="24"/>
      <c r="X60" s="25"/>
    </row>
    <row r="61" spans="1:24" ht="15.75" customHeight="1">
      <c r="A61" s="23">
        <v>63</v>
      </c>
      <c r="B61" s="23" t="s">
        <v>407</v>
      </c>
      <c r="C61" s="23" t="s">
        <v>49</v>
      </c>
      <c r="D61" s="11" t="s">
        <v>691</v>
      </c>
      <c r="E61" s="23" t="s">
        <v>692</v>
      </c>
      <c r="F61" s="23" t="s">
        <v>693</v>
      </c>
      <c r="G61" s="23">
        <v>211</v>
      </c>
      <c r="H61" s="23"/>
      <c r="I61" s="23" t="s">
        <v>686</v>
      </c>
      <c r="J61" s="21"/>
      <c r="K61" s="21"/>
      <c r="L61" s="22"/>
      <c r="M61" s="25"/>
      <c r="N61" s="25"/>
      <c r="O61" s="25"/>
      <c r="P61" s="25"/>
      <c r="Q61" s="25"/>
      <c r="R61" s="25"/>
      <c r="S61" s="25"/>
      <c r="T61" s="21"/>
      <c r="U61" s="21"/>
      <c r="V61" s="27"/>
      <c r="W61" s="24"/>
      <c r="X61" s="25"/>
    </row>
    <row r="62" spans="1:24" ht="15.75" customHeight="1">
      <c r="A62" s="23">
        <v>64</v>
      </c>
      <c r="B62" s="23" t="s">
        <v>407</v>
      </c>
      <c r="C62" s="23" t="s">
        <v>49</v>
      </c>
      <c r="D62" s="11" t="s">
        <v>695</v>
      </c>
      <c r="E62" s="23" t="s">
        <v>697</v>
      </c>
      <c r="F62" s="23" t="s">
        <v>698</v>
      </c>
      <c r="G62" s="23">
        <v>207</v>
      </c>
      <c r="H62" s="23"/>
      <c r="I62" s="23" t="s">
        <v>664</v>
      </c>
      <c r="J62" s="21"/>
      <c r="K62" s="21"/>
      <c r="L62" s="22"/>
      <c r="M62" s="25"/>
      <c r="N62" s="25"/>
      <c r="O62" s="25"/>
      <c r="P62" s="25"/>
      <c r="Q62" s="25"/>
      <c r="R62" s="25"/>
      <c r="S62" s="25"/>
      <c r="T62" s="21"/>
      <c r="U62" s="21"/>
      <c r="V62" s="27"/>
      <c r="W62" s="24"/>
      <c r="X62" s="25"/>
    </row>
    <row r="63" spans="1:24" ht="15.75" customHeight="1">
      <c r="A63" s="74">
        <v>77</v>
      </c>
      <c r="B63" s="74" t="s">
        <v>407</v>
      </c>
      <c r="C63" s="74" t="s">
        <v>46</v>
      </c>
      <c r="D63" s="74" t="s">
        <v>703</v>
      </c>
      <c r="E63" s="115">
        <v>40483</v>
      </c>
      <c r="F63" s="74">
        <v>2023</v>
      </c>
      <c r="G63" s="74">
        <v>8</v>
      </c>
      <c r="H63" s="75"/>
      <c r="I63" s="75">
        <v>46383</v>
      </c>
      <c r="J63" s="21"/>
      <c r="K63" s="21"/>
      <c r="L63" s="22"/>
      <c r="M63" s="25"/>
      <c r="N63" s="25"/>
      <c r="O63" s="25"/>
      <c r="P63" s="25"/>
      <c r="Q63" s="25"/>
      <c r="R63" s="25"/>
      <c r="S63" s="25"/>
      <c r="T63" s="21"/>
      <c r="U63" s="21"/>
      <c r="V63" s="27"/>
      <c r="W63" s="24"/>
      <c r="X63" s="25"/>
    </row>
    <row r="64" spans="1:24" ht="15.75" customHeight="1">
      <c r="A64" s="74">
        <v>78</v>
      </c>
      <c r="B64" s="74" t="s">
        <v>407</v>
      </c>
      <c r="C64" s="74" t="s">
        <v>46</v>
      </c>
      <c r="D64" s="74" t="s">
        <v>711</v>
      </c>
      <c r="E64" s="115">
        <v>40878</v>
      </c>
      <c r="F64" s="74">
        <v>2023</v>
      </c>
      <c r="G64" s="74">
        <v>16</v>
      </c>
      <c r="H64" s="75"/>
      <c r="I64" s="75">
        <v>46383</v>
      </c>
      <c r="J64" s="21"/>
      <c r="K64" s="21"/>
      <c r="L64" s="22"/>
      <c r="M64" s="25"/>
      <c r="N64" s="25"/>
      <c r="O64" s="25"/>
      <c r="P64" s="25"/>
      <c r="Q64" s="25"/>
      <c r="R64" s="25"/>
      <c r="S64" s="25"/>
      <c r="T64" s="21"/>
      <c r="U64" s="21"/>
      <c r="V64" s="27"/>
      <c r="W64" s="24"/>
      <c r="X64" s="25"/>
    </row>
    <row r="65" spans="1:24" ht="15.75" customHeight="1">
      <c r="A65" s="49">
        <v>32</v>
      </c>
      <c r="B65" s="49" t="s">
        <v>416</v>
      </c>
      <c r="C65" s="49" t="s">
        <v>35</v>
      </c>
      <c r="D65" s="49" t="s">
        <v>717</v>
      </c>
      <c r="E65" s="49" t="s">
        <v>52</v>
      </c>
      <c r="F65" s="49">
        <v>2013</v>
      </c>
      <c r="G65" s="49">
        <v>247</v>
      </c>
      <c r="H65" s="49" t="s">
        <v>718</v>
      </c>
      <c r="I65" s="50">
        <v>46384</v>
      </c>
      <c r="J65" s="21" t="s">
        <v>719</v>
      </c>
      <c r="K65" s="21" t="s">
        <v>721</v>
      </c>
      <c r="L65" s="22" t="s">
        <v>22</v>
      </c>
      <c r="M65" s="25"/>
      <c r="N65" s="57" t="s">
        <v>71</v>
      </c>
      <c r="O65" s="25"/>
      <c r="P65" s="25"/>
      <c r="Q65" s="25"/>
      <c r="R65" s="25"/>
      <c r="S65" s="25">
        <v>1350.91</v>
      </c>
      <c r="T65" s="116">
        <v>4767.29</v>
      </c>
      <c r="U65" s="21">
        <f t="shared" ref="U65:U71" si="4">T65-S65</f>
        <v>3416.38</v>
      </c>
      <c r="V65" s="27" t="s">
        <v>725</v>
      </c>
      <c r="W65" s="24" t="s">
        <v>90</v>
      </c>
      <c r="X65" s="25"/>
    </row>
    <row r="66" spans="1:24" ht="15.75" customHeight="1">
      <c r="A66" s="23">
        <v>47</v>
      </c>
      <c r="B66" s="23" t="s">
        <v>416</v>
      </c>
      <c r="C66" s="23" t="s">
        <v>35</v>
      </c>
      <c r="D66" s="23" t="s">
        <v>728</v>
      </c>
      <c r="E66" s="23" t="s">
        <v>39</v>
      </c>
      <c r="F66" s="23">
        <v>2014</v>
      </c>
      <c r="G66" s="23">
        <v>68</v>
      </c>
      <c r="H66" s="26">
        <v>46039</v>
      </c>
      <c r="I66" s="26">
        <v>46384</v>
      </c>
      <c r="J66" s="27" t="s">
        <v>729</v>
      </c>
      <c r="K66" s="21" t="s">
        <v>732</v>
      </c>
      <c r="L66" s="22" t="s">
        <v>734</v>
      </c>
      <c r="M66" s="42"/>
      <c r="N66" s="42" t="s">
        <v>71</v>
      </c>
      <c r="O66" s="42"/>
      <c r="P66" s="42"/>
      <c r="Q66" s="42"/>
      <c r="R66" s="42"/>
      <c r="S66" s="42">
        <v>546</v>
      </c>
      <c r="T66" s="38">
        <v>825</v>
      </c>
      <c r="U66" s="38">
        <f t="shared" si="4"/>
        <v>279</v>
      </c>
      <c r="V66" s="27" t="s">
        <v>725</v>
      </c>
      <c r="W66" s="24" t="s">
        <v>90</v>
      </c>
      <c r="X66" s="25"/>
    </row>
    <row r="67" spans="1:24" ht="15.75" customHeight="1">
      <c r="A67" s="23">
        <v>48</v>
      </c>
      <c r="B67" s="23" t="s">
        <v>416</v>
      </c>
      <c r="C67" s="23" t="s">
        <v>35</v>
      </c>
      <c r="D67" s="23" t="s">
        <v>736</v>
      </c>
      <c r="E67" s="71">
        <v>38899</v>
      </c>
      <c r="F67" s="23">
        <v>2009</v>
      </c>
      <c r="G67" s="23">
        <v>207</v>
      </c>
      <c r="H67" s="23" t="s">
        <v>739</v>
      </c>
      <c r="I67" s="73">
        <v>46170</v>
      </c>
      <c r="J67" s="21" t="s">
        <v>740</v>
      </c>
      <c r="K67" s="21" t="s">
        <v>742</v>
      </c>
      <c r="L67" s="22" t="s">
        <v>22</v>
      </c>
      <c r="M67" s="42"/>
      <c r="N67" s="42" t="s">
        <v>71</v>
      </c>
      <c r="O67" s="42"/>
      <c r="P67" s="42"/>
      <c r="Q67" s="42"/>
      <c r="R67" s="42"/>
      <c r="S67" s="42">
        <v>857.3</v>
      </c>
      <c r="T67" s="42">
        <v>4443.54</v>
      </c>
      <c r="U67" s="38">
        <f t="shared" si="4"/>
        <v>3586.24</v>
      </c>
      <c r="V67" s="27" t="s">
        <v>725</v>
      </c>
      <c r="W67" s="24" t="s">
        <v>90</v>
      </c>
      <c r="X67" s="25"/>
    </row>
    <row r="68" spans="1:24" ht="15.75" customHeight="1">
      <c r="A68" s="23">
        <v>49</v>
      </c>
      <c r="B68" s="23" t="s">
        <v>416</v>
      </c>
      <c r="C68" s="23" t="s">
        <v>35</v>
      </c>
      <c r="D68" s="23" t="s">
        <v>746</v>
      </c>
      <c r="E68" s="72">
        <v>40087</v>
      </c>
      <c r="F68" s="23">
        <v>2013</v>
      </c>
      <c r="G68" s="23">
        <v>142</v>
      </c>
      <c r="H68" s="118">
        <v>43891</v>
      </c>
      <c r="I68" s="26">
        <v>46110</v>
      </c>
      <c r="J68" s="21" t="s">
        <v>752</v>
      </c>
      <c r="K68" s="21" t="s">
        <v>753</v>
      </c>
      <c r="L68" s="22" t="s">
        <v>22</v>
      </c>
      <c r="M68" s="119"/>
      <c r="N68" s="119" t="s">
        <v>71</v>
      </c>
      <c r="O68" s="119"/>
      <c r="P68" s="119"/>
      <c r="Q68" s="119"/>
      <c r="R68" s="119"/>
      <c r="S68" s="119">
        <v>816.14</v>
      </c>
      <c r="T68" s="38">
        <v>3128.35</v>
      </c>
      <c r="U68" s="38">
        <f t="shared" si="4"/>
        <v>2312.21</v>
      </c>
      <c r="V68" s="27" t="s">
        <v>725</v>
      </c>
      <c r="W68" s="24" t="s">
        <v>90</v>
      </c>
      <c r="X68" s="25"/>
    </row>
    <row r="69" spans="1:24" ht="15.75" customHeight="1">
      <c r="A69" s="23">
        <v>50</v>
      </c>
      <c r="B69" s="23" t="s">
        <v>416</v>
      </c>
      <c r="C69" s="23" t="s">
        <v>35</v>
      </c>
      <c r="D69" s="23" t="s">
        <v>760</v>
      </c>
      <c r="E69" s="72">
        <v>40483</v>
      </c>
      <c r="F69" s="23">
        <v>2013</v>
      </c>
      <c r="G69" s="23">
        <v>182</v>
      </c>
      <c r="H69" s="118">
        <v>43525</v>
      </c>
      <c r="I69" s="26">
        <v>46385</v>
      </c>
      <c r="J69" s="21" t="s">
        <v>761</v>
      </c>
      <c r="K69" s="21" t="s">
        <v>762</v>
      </c>
      <c r="L69" s="22" t="s">
        <v>22</v>
      </c>
      <c r="M69" s="119"/>
      <c r="N69" s="119" t="s">
        <v>71</v>
      </c>
      <c r="O69" s="119"/>
      <c r="P69" s="119"/>
      <c r="Q69" s="119"/>
      <c r="R69" s="119"/>
      <c r="S69" s="119">
        <v>913</v>
      </c>
      <c r="T69" s="38">
        <v>1801</v>
      </c>
      <c r="U69" s="38">
        <f t="shared" si="4"/>
        <v>888</v>
      </c>
      <c r="V69" s="27" t="s">
        <v>763</v>
      </c>
      <c r="W69" s="24" t="s">
        <v>243</v>
      </c>
      <c r="X69" s="25"/>
    </row>
    <row r="70" spans="1:24" ht="15.75" customHeight="1">
      <c r="A70" s="23">
        <v>51</v>
      </c>
      <c r="B70" s="23" t="s">
        <v>416</v>
      </c>
      <c r="C70" s="23" t="s">
        <v>35</v>
      </c>
      <c r="D70" s="23" t="s">
        <v>764</v>
      </c>
      <c r="E70" s="72">
        <v>40878</v>
      </c>
      <c r="F70" s="23">
        <v>2013</v>
      </c>
      <c r="G70" s="23">
        <v>24</v>
      </c>
      <c r="H70" s="118">
        <v>42430</v>
      </c>
      <c r="I70" s="26">
        <v>46109</v>
      </c>
      <c r="J70" s="21" t="s">
        <v>765</v>
      </c>
      <c r="K70" s="21" t="s">
        <v>766</v>
      </c>
      <c r="L70" s="22" t="s">
        <v>22</v>
      </c>
      <c r="M70" s="25"/>
      <c r="N70" s="57" t="s">
        <v>71</v>
      </c>
      <c r="O70" s="25"/>
      <c r="P70" s="25"/>
      <c r="Q70" s="25"/>
      <c r="R70" s="25"/>
      <c r="S70" s="25">
        <v>99.64</v>
      </c>
      <c r="T70" s="21">
        <v>279.54000000000002</v>
      </c>
      <c r="U70" s="21">
        <f t="shared" si="4"/>
        <v>179.90000000000003</v>
      </c>
      <c r="V70" s="27" t="s">
        <v>767</v>
      </c>
      <c r="W70" s="24" t="s">
        <v>243</v>
      </c>
      <c r="X70" s="25"/>
    </row>
    <row r="71" spans="1:24" ht="15.75" customHeight="1">
      <c r="A71" s="23">
        <v>52</v>
      </c>
      <c r="B71" s="23" t="s">
        <v>416</v>
      </c>
      <c r="C71" s="23" t="s">
        <v>35</v>
      </c>
      <c r="D71" s="23" t="s">
        <v>768</v>
      </c>
      <c r="E71" s="23" t="s">
        <v>412</v>
      </c>
      <c r="F71" s="23">
        <v>2017</v>
      </c>
      <c r="G71" s="23">
        <v>257</v>
      </c>
      <c r="H71" s="120">
        <v>46165</v>
      </c>
      <c r="I71" s="26">
        <v>46112</v>
      </c>
      <c r="J71" s="38" t="s">
        <v>769</v>
      </c>
      <c r="K71" s="21" t="s">
        <v>770</v>
      </c>
      <c r="L71" s="22" t="s">
        <v>309</v>
      </c>
      <c r="M71" s="119" t="s">
        <v>70</v>
      </c>
      <c r="N71" s="119" t="s">
        <v>71</v>
      </c>
      <c r="O71" s="119"/>
      <c r="P71" s="119" t="s">
        <v>161</v>
      </c>
      <c r="Q71" s="119"/>
      <c r="R71" s="119"/>
      <c r="S71" s="119">
        <v>1922</v>
      </c>
      <c r="T71" s="119">
        <v>7000</v>
      </c>
      <c r="U71" s="38">
        <f t="shared" si="4"/>
        <v>5078</v>
      </c>
      <c r="V71" s="27" t="s">
        <v>771</v>
      </c>
      <c r="W71" s="24" t="s">
        <v>90</v>
      </c>
      <c r="X71" s="25"/>
    </row>
    <row r="72" spans="1:24" ht="15.75" customHeight="1">
      <c r="A72" s="74">
        <v>79</v>
      </c>
      <c r="B72" s="74" t="s">
        <v>416</v>
      </c>
      <c r="C72" s="74" t="s">
        <v>46</v>
      </c>
      <c r="D72" s="74" t="s">
        <v>772</v>
      </c>
      <c r="E72" s="115">
        <v>40087</v>
      </c>
      <c r="F72" s="74">
        <v>2019</v>
      </c>
      <c r="G72" s="74">
        <v>312</v>
      </c>
      <c r="H72" s="74" t="s">
        <v>773</v>
      </c>
      <c r="I72" s="75">
        <v>46384</v>
      </c>
      <c r="J72" s="38" t="s">
        <v>774</v>
      </c>
      <c r="K72" s="121" t="s">
        <v>775</v>
      </c>
      <c r="L72" s="22" t="s">
        <v>45</v>
      </c>
      <c r="M72" s="42" t="s">
        <v>70</v>
      </c>
      <c r="N72" s="42"/>
      <c r="O72" s="42"/>
      <c r="P72" s="42"/>
      <c r="Q72" s="42"/>
      <c r="R72" s="42"/>
      <c r="S72" s="42">
        <v>2127</v>
      </c>
      <c r="T72" s="38">
        <v>5028</v>
      </c>
      <c r="U72" s="38">
        <v>2901</v>
      </c>
      <c r="V72" s="27" t="s">
        <v>776</v>
      </c>
      <c r="W72" s="24" t="s">
        <v>159</v>
      </c>
      <c r="X72" s="25"/>
    </row>
    <row r="73" spans="1:24" ht="15.75" customHeight="1">
      <c r="A73" s="74">
        <v>80</v>
      </c>
      <c r="B73" s="74" t="s">
        <v>416</v>
      </c>
      <c r="C73" s="74" t="s">
        <v>46</v>
      </c>
      <c r="D73" s="74" t="s">
        <v>777</v>
      </c>
      <c r="E73" s="115">
        <v>40878</v>
      </c>
      <c r="F73" s="74">
        <v>2025</v>
      </c>
      <c r="G73" s="74">
        <v>23</v>
      </c>
      <c r="H73" s="74" t="s">
        <v>778</v>
      </c>
      <c r="I73" s="75">
        <v>46201</v>
      </c>
      <c r="J73" s="38" t="s">
        <v>86</v>
      </c>
      <c r="K73" s="122" t="s">
        <v>779</v>
      </c>
      <c r="L73" s="22" t="s">
        <v>87</v>
      </c>
      <c r="M73" s="25"/>
      <c r="N73" s="25"/>
      <c r="O73" s="25"/>
      <c r="P73" s="25"/>
      <c r="Q73" s="25"/>
      <c r="R73" s="25" t="s">
        <v>780</v>
      </c>
      <c r="S73" s="25">
        <v>445.69</v>
      </c>
      <c r="T73" s="21">
        <v>445.69</v>
      </c>
      <c r="U73" s="21" t="s">
        <v>107</v>
      </c>
      <c r="V73" s="27" t="s">
        <v>781</v>
      </c>
      <c r="W73" s="24" t="s">
        <v>265</v>
      </c>
      <c r="X73" s="25"/>
    </row>
    <row r="74" spans="1:24" ht="15.75" customHeight="1">
      <c r="A74" s="35">
        <v>53</v>
      </c>
      <c r="B74" s="35" t="s">
        <v>424</v>
      </c>
      <c r="C74" s="35" t="s">
        <v>35</v>
      </c>
      <c r="D74" s="35" t="s">
        <v>782</v>
      </c>
      <c r="E74" s="35" t="s">
        <v>697</v>
      </c>
      <c r="F74" s="35">
        <v>2003</v>
      </c>
      <c r="G74" s="35">
        <v>277</v>
      </c>
      <c r="H74" s="123"/>
      <c r="I74" s="36">
        <v>46080</v>
      </c>
      <c r="J74" s="21"/>
      <c r="K74" s="21"/>
      <c r="L74" s="22"/>
      <c r="M74" s="25"/>
      <c r="N74" s="25"/>
      <c r="O74" s="25"/>
      <c r="P74" s="25"/>
      <c r="Q74" s="25"/>
      <c r="R74" s="25"/>
      <c r="S74" s="25"/>
      <c r="T74" s="21"/>
      <c r="U74" s="21"/>
      <c r="V74" s="27"/>
      <c r="W74" s="24"/>
      <c r="X74" s="25"/>
    </row>
    <row r="75" spans="1:24" ht="15.75" customHeight="1">
      <c r="A75" s="23">
        <v>54</v>
      </c>
      <c r="B75" s="23" t="s">
        <v>424</v>
      </c>
      <c r="C75" s="23" t="s">
        <v>35</v>
      </c>
      <c r="D75" s="23" t="s">
        <v>783</v>
      </c>
      <c r="E75" s="23" t="s">
        <v>283</v>
      </c>
      <c r="F75" s="23">
        <v>2023</v>
      </c>
      <c r="G75" s="23">
        <v>541</v>
      </c>
      <c r="H75" s="23"/>
      <c r="I75" s="23" t="s">
        <v>410</v>
      </c>
      <c r="J75" s="21"/>
      <c r="K75" s="21"/>
      <c r="L75" s="22"/>
      <c r="M75" s="25"/>
      <c r="N75" s="25"/>
      <c r="O75" s="25"/>
      <c r="P75" s="25"/>
      <c r="Q75" s="25"/>
      <c r="R75" s="25"/>
      <c r="S75" s="25"/>
      <c r="T75" s="21"/>
      <c r="U75" s="21"/>
      <c r="V75" s="27"/>
      <c r="W75" s="24"/>
      <c r="X75" s="25"/>
    </row>
    <row r="76" spans="1:24" ht="15.75" customHeight="1">
      <c r="A76" s="23">
        <v>55</v>
      </c>
      <c r="B76" s="23" t="s">
        <v>442</v>
      </c>
      <c r="C76" s="23" t="s">
        <v>35</v>
      </c>
      <c r="D76" s="23" t="s">
        <v>784</v>
      </c>
      <c r="E76" s="71">
        <v>39295</v>
      </c>
      <c r="F76" s="23">
        <v>2012</v>
      </c>
      <c r="G76" s="23">
        <v>205</v>
      </c>
      <c r="H76" s="23" t="s">
        <v>785</v>
      </c>
      <c r="I76" s="26">
        <v>46386</v>
      </c>
      <c r="J76" s="38" t="s">
        <v>786</v>
      </c>
      <c r="K76" s="27" t="s">
        <v>787</v>
      </c>
      <c r="L76" s="22" t="s">
        <v>436</v>
      </c>
      <c r="M76" s="42" t="s">
        <v>70</v>
      </c>
      <c r="N76" s="42" t="s">
        <v>71</v>
      </c>
      <c r="O76" s="42"/>
      <c r="P76" s="42"/>
      <c r="Q76" s="42"/>
      <c r="R76" s="42"/>
      <c r="S76" s="42">
        <v>1640.04</v>
      </c>
      <c r="T76" s="38">
        <v>9217.23</v>
      </c>
      <c r="U76" s="38">
        <f t="shared" ref="U76:U81" si="5">T76-S76</f>
        <v>7577.19</v>
      </c>
      <c r="V76" s="27" t="s">
        <v>788</v>
      </c>
      <c r="W76" s="24" t="s">
        <v>211</v>
      </c>
      <c r="X76" s="25"/>
    </row>
    <row r="77" spans="1:24" ht="15.75" customHeight="1">
      <c r="A77" s="23">
        <v>56</v>
      </c>
      <c r="B77" s="23" t="s">
        <v>442</v>
      </c>
      <c r="C77" s="23" t="s">
        <v>35</v>
      </c>
      <c r="D77" s="23" t="s">
        <v>789</v>
      </c>
      <c r="E77" s="71">
        <v>38899</v>
      </c>
      <c r="F77" s="23">
        <v>2012</v>
      </c>
      <c r="G77" s="23">
        <v>147</v>
      </c>
      <c r="H77" s="23" t="s">
        <v>790</v>
      </c>
      <c r="I77" s="23" t="s">
        <v>791</v>
      </c>
      <c r="J77" s="38" t="s">
        <v>792</v>
      </c>
      <c r="K77" s="21" t="s">
        <v>793</v>
      </c>
      <c r="L77" s="22" t="s">
        <v>45</v>
      </c>
      <c r="M77" s="42" t="s">
        <v>70</v>
      </c>
      <c r="N77" s="42"/>
      <c r="O77" s="42"/>
      <c r="P77" s="42"/>
      <c r="Q77" s="42"/>
      <c r="R77" s="42"/>
      <c r="S77" s="42">
        <v>1347.26</v>
      </c>
      <c r="T77" s="38">
        <v>1993.65</v>
      </c>
      <c r="U77" s="38">
        <f t="shared" si="5"/>
        <v>646.3900000000001</v>
      </c>
      <c r="V77" s="27" t="s">
        <v>794</v>
      </c>
      <c r="W77" s="24" t="s">
        <v>257</v>
      </c>
      <c r="X77" s="25"/>
    </row>
    <row r="78" spans="1:24" ht="15.75" customHeight="1">
      <c r="A78" s="35">
        <v>65</v>
      </c>
      <c r="B78" s="35" t="s">
        <v>442</v>
      </c>
      <c r="C78" s="35" t="s">
        <v>49</v>
      </c>
      <c r="D78" s="35" t="s">
        <v>795</v>
      </c>
      <c r="E78" s="76">
        <v>39692</v>
      </c>
      <c r="F78" s="35">
        <v>2008</v>
      </c>
      <c r="G78" s="35">
        <v>126</v>
      </c>
      <c r="H78" s="36">
        <v>46253</v>
      </c>
      <c r="I78" s="36">
        <v>46080</v>
      </c>
      <c r="J78" s="38" t="s">
        <v>796</v>
      </c>
      <c r="K78" s="103" t="s">
        <v>797</v>
      </c>
      <c r="L78" s="22" t="s">
        <v>24</v>
      </c>
      <c r="M78" s="124"/>
      <c r="N78" s="124"/>
      <c r="O78" s="124" t="s">
        <v>136</v>
      </c>
      <c r="P78" s="124"/>
      <c r="Q78" s="124"/>
      <c r="R78" s="124"/>
      <c r="S78" s="124">
        <v>321.62</v>
      </c>
      <c r="T78" s="124">
        <v>1696.0324000000001</v>
      </c>
      <c r="U78" s="124">
        <f t="shared" si="5"/>
        <v>1374.4124000000002</v>
      </c>
      <c r="V78" s="121" t="s">
        <v>798</v>
      </c>
      <c r="W78" s="24" t="s">
        <v>799</v>
      </c>
      <c r="X78" s="25"/>
    </row>
    <row r="79" spans="1:24" ht="15.75" customHeight="1">
      <c r="A79" s="35">
        <v>66</v>
      </c>
      <c r="B79" s="35" t="s">
        <v>442</v>
      </c>
      <c r="C79" s="35" t="s">
        <v>49</v>
      </c>
      <c r="D79" s="35" t="s">
        <v>800</v>
      </c>
      <c r="E79" s="76">
        <v>39295</v>
      </c>
      <c r="F79" s="35" t="s">
        <v>801</v>
      </c>
      <c r="G79" s="35">
        <v>320</v>
      </c>
      <c r="H79" s="36">
        <v>46190</v>
      </c>
      <c r="I79" s="36">
        <v>46382</v>
      </c>
      <c r="J79" s="38" t="s">
        <v>802</v>
      </c>
      <c r="K79" s="27" t="s">
        <v>803</v>
      </c>
      <c r="L79" s="22" t="s">
        <v>24</v>
      </c>
      <c r="M79" s="125"/>
      <c r="N79" s="125"/>
      <c r="O79" s="125" t="s">
        <v>136</v>
      </c>
      <c r="P79" s="125"/>
      <c r="Q79" s="125"/>
      <c r="R79" s="125"/>
      <c r="S79" s="125">
        <v>742.88</v>
      </c>
      <c r="T79" s="124">
        <v>2837.7999</v>
      </c>
      <c r="U79" s="124">
        <f t="shared" si="5"/>
        <v>2094.9198999999999</v>
      </c>
      <c r="V79" s="27" t="s">
        <v>804</v>
      </c>
      <c r="W79" s="24" t="s">
        <v>257</v>
      </c>
      <c r="X79" s="25"/>
    </row>
    <row r="80" spans="1:24" ht="15.75" customHeight="1">
      <c r="A80" s="23">
        <v>67</v>
      </c>
      <c r="B80" s="23" t="s">
        <v>442</v>
      </c>
      <c r="C80" s="23" t="s">
        <v>49</v>
      </c>
      <c r="D80" s="23" t="s">
        <v>805</v>
      </c>
      <c r="E80" s="71">
        <v>39295</v>
      </c>
      <c r="F80" s="23">
        <v>2019</v>
      </c>
      <c r="G80" s="23">
        <v>525</v>
      </c>
      <c r="H80" s="23" t="s">
        <v>806</v>
      </c>
      <c r="I80" s="26">
        <v>46386</v>
      </c>
      <c r="J80" s="38" t="s">
        <v>807</v>
      </c>
      <c r="K80" s="24" t="s">
        <v>808</v>
      </c>
      <c r="L80" s="22" t="s">
        <v>22</v>
      </c>
      <c r="M80" s="42"/>
      <c r="N80" s="42" t="s">
        <v>71</v>
      </c>
      <c r="O80" s="42"/>
      <c r="P80" s="42"/>
      <c r="Q80" s="42"/>
      <c r="R80" s="42"/>
      <c r="S80" s="42">
        <v>1656.25</v>
      </c>
      <c r="T80" s="126">
        <v>13314.4666</v>
      </c>
      <c r="U80" s="126">
        <f t="shared" si="5"/>
        <v>11658.2166</v>
      </c>
      <c r="V80" s="27" t="s">
        <v>809</v>
      </c>
      <c r="W80" s="24" t="s">
        <v>91</v>
      </c>
      <c r="X80" s="25"/>
    </row>
    <row r="81" spans="1:24" ht="15.75" customHeight="1">
      <c r="A81" s="23">
        <v>68</v>
      </c>
      <c r="B81" s="23" t="s">
        <v>442</v>
      </c>
      <c r="C81" s="23" t="s">
        <v>49</v>
      </c>
      <c r="D81" s="23" t="s">
        <v>810</v>
      </c>
      <c r="E81" s="72">
        <v>40878</v>
      </c>
      <c r="F81" s="23">
        <v>2017</v>
      </c>
      <c r="G81" s="23">
        <v>91</v>
      </c>
      <c r="H81" s="23" t="s">
        <v>811</v>
      </c>
      <c r="I81" s="26">
        <v>46201</v>
      </c>
      <c r="J81" s="38" t="s">
        <v>812</v>
      </c>
      <c r="K81" s="21" t="s">
        <v>678</v>
      </c>
      <c r="L81" s="22" t="s">
        <v>22</v>
      </c>
      <c r="M81" s="42"/>
      <c r="N81" s="42" t="s">
        <v>71</v>
      </c>
      <c r="O81" s="42"/>
      <c r="P81" s="42"/>
      <c r="Q81" s="42"/>
      <c r="R81" s="42"/>
      <c r="S81" s="42">
        <v>844.1</v>
      </c>
      <c r="T81" s="38">
        <v>1015.07</v>
      </c>
      <c r="U81" s="38">
        <f t="shared" si="5"/>
        <v>170.97000000000003</v>
      </c>
      <c r="V81" s="27" t="s">
        <v>813</v>
      </c>
      <c r="W81" s="24" t="s">
        <v>363</v>
      </c>
      <c r="X81" s="25"/>
    </row>
    <row r="82" spans="1:24" ht="13">
      <c r="J82" s="122"/>
      <c r="K82" s="122"/>
      <c r="L82" s="87"/>
      <c r="N82" s="1"/>
      <c r="T82" s="122"/>
      <c r="U82" s="122"/>
      <c r="V82" s="79"/>
      <c r="W82" s="81"/>
    </row>
    <row r="83" spans="1:24" ht="13">
      <c r="J83" s="122"/>
      <c r="K83" s="122"/>
      <c r="L83" s="87"/>
      <c r="N83" s="1"/>
      <c r="T83" s="122"/>
      <c r="U83" s="122"/>
      <c r="V83" s="79"/>
      <c r="W83" s="81"/>
    </row>
    <row r="84" spans="1:24" ht="13">
      <c r="J84" s="122"/>
      <c r="K84" s="122"/>
      <c r="L84" s="87"/>
      <c r="N84" s="1"/>
      <c r="T84" s="122"/>
      <c r="U84" s="122"/>
      <c r="V84" s="79"/>
      <c r="W84" s="81"/>
    </row>
    <row r="85" spans="1:24" ht="13">
      <c r="J85" s="122"/>
      <c r="K85" s="122"/>
      <c r="L85" s="87"/>
      <c r="N85" s="1"/>
      <c r="T85" s="122"/>
      <c r="U85" s="122"/>
      <c r="V85" s="79"/>
      <c r="W85" s="81"/>
    </row>
    <row r="86" spans="1:24" ht="13">
      <c r="J86" s="122"/>
      <c r="K86" s="122"/>
      <c r="L86" s="87"/>
      <c r="N86" s="1"/>
      <c r="T86" s="122"/>
      <c r="U86" s="122"/>
      <c r="V86" s="79"/>
      <c r="W86" s="81"/>
    </row>
    <row r="87" spans="1:24" ht="13">
      <c r="J87" s="122"/>
      <c r="K87" s="122"/>
      <c r="L87" s="87"/>
      <c r="N87" s="1"/>
      <c r="T87" s="122"/>
      <c r="U87" s="122"/>
      <c r="V87" s="79"/>
      <c r="W87" s="81"/>
    </row>
    <row r="88" spans="1:24" ht="13">
      <c r="J88" s="122"/>
      <c r="K88" s="122"/>
      <c r="L88" s="87"/>
      <c r="N88" s="1"/>
      <c r="T88" s="122"/>
      <c r="U88" s="122"/>
      <c r="V88" s="79"/>
      <c r="W88" s="81"/>
    </row>
    <row r="89" spans="1:24" ht="13">
      <c r="J89" s="122"/>
      <c r="K89" s="122"/>
      <c r="L89" s="87"/>
      <c r="N89" s="1"/>
      <c r="T89" s="122"/>
      <c r="U89" s="122"/>
      <c r="V89" s="79"/>
      <c r="W89" s="81"/>
    </row>
    <row r="90" spans="1:24" ht="13">
      <c r="J90" s="122"/>
      <c r="K90" s="122"/>
      <c r="L90" s="87"/>
      <c r="N90" s="1"/>
      <c r="T90" s="122"/>
      <c r="U90" s="122"/>
      <c r="V90" s="79"/>
      <c r="W90" s="81"/>
    </row>
    <row r="91" spans="1:24" ht="13">
      <c r="J91" s="122"/>
      <c r="K91" s="122"/>
      <c r="L91" s="87"/>
      <c r="N91" s="1"/>
      <c r="T91" s="122"/>
      <c r="U91" s="122"/>
      <c r="V91" s="79"/>
      <c r="W91" s="81"/>
    </row>
    <row r="92" spans="1:24" ht="13">
      <c r="J92" s="122"/>
      <c r="K92" s="122"/>
      <c r="L92" s="87"/>
      <c r="N92" s="1"/>
      <c r="T92" s="122"/>
      <c r="U92" s="122"/>
      <c r="V92" s="79"/>
      <c r="W92" s="81"/>
    </row>
    <row r="93" spans="1:24" ht="13">
      <c r="J93" s="122"/>
      <c r="K93" s="122"/>
      <c r="L93" s="87"/>
      <c r="N93" s="1"/>
      <c r="T93" s="122"/>
      <c r="U93" s="122"/>
      <c r="V93" s="79"/>
      <c r="W93" s="81"/>
    </row>
    <row r="94" spans="1:24" ht="13">
      <c r="J94" s="122"/>
      <c r="K94" s="122"/>
      <c r="L94" s="87"/>
      <c r="N94" s="1"/>
      <c r="T94" s="122"/>
      <c r="U94" s="122"/>
      <c r="V94" s="79"/>
      <c r="W94" s="81"/>
    </row>
    <row r="95" spans="1:24" ht="13">
      <c r="J95" s="122"/>
      <c r="K95" s="122"/>
      <c r="L95" s="87"/>
      <c r="N95" s="1"/>
      <c r="T95" s="122"/>
      <c r="U95" s="122"/>
      <c r="V95" s="79"/>
      <c r="W95" s="81"/>
    </row>
    <row r="96" spans="1:24" ht="13">
      <c r="H96" s="32" t="s">
        <v>814</v>
      </c>
      <c r="I96" s="32">
        <v>32</v>
      </c>
      <c r="J96" s="122"/>
      <c r="K96" s="122"/>
      <c r="L96" s="87"/>
      <c r="N96" s="1"/>
      <c r="T96" s="122"/>
      <c r="U96" s="122"/>
      <c r="V96" s="79"/>
      <c r="W96" s="81"/>
    </row>
    <row r="97" spans="10:23" ht="13">
      <c r="J97" s="122"/>
      <c r="K97" s="122"/>
      <c r="L97" s="87"/>
      <c r="N97" s="1"/>
      <c r="T97" s="122"/>
      <c r="U97" s="122"/>
      <c r="V97" s="79"/>
      <c r="W97" s="81"/>
    </row>
    <row r="98" spans="10:23" ht="13">
      <c r="J98" s="122"/>
      <c r="K98" s="122"/>
      <c r="L98" s="87"/>
      <c r="N98" s="1"/>
      <c r="T98" s="122"/>
      <c r="U98" s="122"/>
      <c r="V98" s="79"/>
      <c r="W98" s="81"/>
    </row>
    <row r="99" spans="10:23" ht="13">
      <c r="J99" s="122"/>
      <c r="K99" s="122"/>
      <c r="L99" s="87"/>
      <c r="N99" s="1"/>
      <c r="T99" s="122"/>
      <c r="U99" s="122"/>
      <c r="V99" s="79"/>
      <c r="W99" s="81"/>
    </row>
    <row r="100" spans="10:23" ht="13">
      <c r="J100" s="122"/>
      <c r="K100" s="122"/>
      <c r="L100" s="87"/>
      <c r="N100" s="1"/>
      <c r="T100" s="122"/>
      <c r="U100" s="122"/>
      <c r="V100" s="79"/>
      <c r="W100" s="81"/>
    </row>
    <row r="101" spans="10:23" ht="13">
      <c r="J101" s="122"/>
      <c r="K101" s="122"/>
      <c r="L101" s="87"/>
      <c r="N101" s="1"/>
      <c r="T101" s="122"/>
      <c r="U101" s="122"/>
      <c r="V101" s="79"/>
      <c r="W101" s="81"/>
    </row>
    <row r="102" spans="10:23" ht="13">
      <c r="J102" s="122"/>
      <c r="K102" s="122"/>
      <c r="L102" s="87"/>
      <c r="N102" s="1"/>
      <c r="T102" s="122"/>
      <c r="U102" s="122"/>
      <c r="V102" s="79"/>
      <c r="W102" s="81"/>
    </row>
    <row r="103" spans="10:23" ht="13">
      <c r="J103" s="122"/>
      <c r="K103" s="122"/>
      <c r="L103" s="87"/>
      <c r="N103" s="1"/>
      <c r="T103" s="122"/>
      <c r="U103" s="122"/>
      <c r="V103" s="79"/>
      <c r="W103" s="81"/>
    </row>
    <row r="104" spans="10:23" ht="13">
      <c r="J104" s="122"/>
      <c r="K104" s="122"/>
      <c r="L104" s="87"/>
      <c r="N104" s="1"/>
      <c r="T104" s="122"/>
      <c r="U104" s="122"/>
      <c r="V104" s="79"/>
      <c r="W104" s="81"/>
    </row>
    <row r="105" spans="10:23" ht="13">
      <c r="J105" s="122"/>
      <c r="K105" s="122"/>
      <c r="L105" s="87"/>
      <c r="N105" s="1"/>
      <c r="T105" s="122"/>
      <c r="U105" s="122"/>
      <c r="V105" s="79"/>
      <c r="W105" s="81"/>
    </row>
    <row r="106" spans="10:23" ht="13">
      <c r="J106" s="122"/>
      <c r="K106" s="122"/>
      <c r="L106" s="87"/>
      <c r="N106" s="1"/>
      <c r="T106" s="122"/>
      <c r="U106" s="122"/>
      <c r="V106" s="79"/>
      <c r="W106" s="81"/>
    </row>
    <row r="107" spans="10:23" ht="13">
      <c r="J107" s="122"/>
      <c r="K107" s="122"/>
      <c r="L107" s="87"/>
      <c r="N107" s="1"/>
      <c r="T107" s="122"/>
      <c r="U107" s="122"/>
      <c r="V107" s="79"/>
      <c r="W107" s="81"/>
    </row>
    <row r="108" spans="10:23" ht="13">
      <c r="J108" s="122"/>
      <c r="K108" s="122"/>
      <c r="L108" s="87"/>
      <c r="N108" s="1"/>
      <c r="T108" s="122"/>
      <c r="U108" s="122"/>
      <c r="V108" s="79"/>
      <c r="W108" s="81"/>
    </row>
    <row r="109" spans="10:23" ht="13">
      <c r="J109" s="122"/>
      <c r="K109" s="122"/>
      <c r="L109" s="87"/>
      <c r="N109" s="1"/>
      <c r="T109" s="122"/>
      <c r="U109" s="122"/>
      <c r="V109" s="79"/>
      <c r="W109" s="81"/>
    </row>
    <row r="110" spans="10:23" ht="13">
      <c r="J110" s="122"/>
      <c r="K110" s="122"/>
      <c r="L110" s="87"/>
      <c r="N110" s="1"/>
      <c r="T110" s="122"/>
      <c r="U110" s="122"/>
      <c r="V110" s="79"/>
      <c r="W110" s="81"/>
    </row>
    <row r="111" spans="10:23" ht="13">
      <c r="J111" s="122"/>
      <c r="K111" s="122"/>
      <c r="L111" s="87"/>
      <c r="N111" s="1"/>
      <c r="T111" s="122"/>
      <c r="U111" s="122"/>
      <c r="V111" s="79"/>
      <c r="W111" s="81"/>
    </row>
    <row r="112" spans="10:23" ht="13">
      <c r="J112" s="122"/>
      <c r="K112" s="122"/>
      <c r="L112" s="87"/>
      <c r="N112" s="1"/>
      <c r="T112" s="122"/>
      <c r="U112" s="122"/>
      <c r="V112" s="79"/>
      <c r="W112" s="81"/>
    </row>
    <row r="113" spans="10:23" ht="13">
      <c r="J113" s="122"/>
      <c r="K113" s="122"/>
      <c r="L113" s="87"/>
      <c r="N113" s="1"/>
      <c r="T113" s="122"/>
      <c r="U113" s="122"/>
      <c r="V113" s="79"/>
      <c r="W113" s="81"/>
    </row>
    <row r="114" spans="10:23" ht="13">
      <c r="J114" s="122"/>
      <c r="K114" s="122"/>
      <c r="L114" s="87"/>
      <c r="N114" s="1"/>
      <c r="T114" s="122"/>
      <c r="U114" s="122"/>
      <c r="V114" s="79"/>
      <c r="W114" s="81"/>
    </row>
    <row r="115" spans="10:23" ht="13">
      <c r="J115" s="122"/>
      <c r="K115" s="122"/>
      <c r="L115" s="87"/>
      <c r="N115" s="1"/>
      <c r="T115" s="122"/>
      <c r="U115" s="122"/>
      <c r="V115" s="79"/>
      <c r="W115" s="81"/>
    </row>
    <row r="116" spans="10:23" ht="13">
      <c r="J116" s="122"/>
      <c r="K116" s="122"/>
      <c r="L116" s="87"/>
      <c r="N116" s="1"/>
      <c r="T116" s="122"/>
      <c r="U116" s="122"/>
      <c r="V116" s="79"/>
      <c r="W116" s="81"/>
    </row>
    <row r="117" spans="10:23" ht="13">
      <c r="J117" s="122"/>
      <c r="K117" s="122"/>
      <c r="L117" s="87"/>
      <c r="N117" s="1"/>
      <c r="T117" s="122"/>
      <c r="U117" s="122"/>
      <c r="V117" s="79"/>
      <c r="W117" s="81"/>
    </row>
    <row r="118" spans="10:23" ht="13">
      <c r="J118" s="122"/>
      <c r="K118" s="122"/>
      <c r="L118" s="87"/>
      <c r="N118" s="1"/>
      <c r="T118" s="122"/>
      <c r="U118" s="122"/>
      <c r="V118" s="79"/>
      <c r="W118" s="81"/>
    </row>
    <row r="119" spans="10:23" ht="13">
      <c r="J119" s="122"/>
      <c r="K119" s="122"/>
      <c r="L119" s="87"/>
      <c r="N119" s="1"/>
      <c r="T119" s="122"/>
      <c r="U119" s="122"/>
      <c r="V119" s="79"/>
      <c r="W119" s="81"/>
    </row>
    <row r="120" spans="10:23" ht="13">
      <c r="J120" s="122"/>
      <c r="K120" s="122"/>
      <c r="L120" s="87"/>
      <c r="N120" s="1"/>
      <c r="T120" s="122"/>
      <c r="U120" s="122"/>
      <c r="V120" s="79"/>
      <c r="W120" s="81"/>
    </row>
    <row r="121" spans="10:23" ht="13">
      <c r="J121" s="122"/>
      <c r="K121" s="122"/>
      <c r="L121" s="87"/>
      <c r="N121" s="1"/>
      <c r="T121" s="122"/>
      <c r="U121" s="122"/>
      <c r="V121" s="79"/>
      <c r="W121" s="81"/>
    </row>
    <row r="122" spans="10:23" ht="13">
      <c r="J122" s="122"/>
      <c r="K122" s="122"/>
      <c r="L122" s="87"/>
      <c r="N122" s="1"/>
      <c r="T122" s="122"/>
      <c r="U122" s="122"/>
      <c r="V122" s="79"/>
      <c r="W122" s="81"/>
    </row>
    <row r="123" spans="10:23" ht="13">
      <c r="J123" s="122"/>
      <c r="K123" s="122"/>
      <c r="L123" s="87"/>
      <c r="N123" s="1"/>
      <c r="T123" s="122"/>
      <c r="U123" s="122"/>
      <c r="V123" s="79"/>
      <c r="W123" s="81"/>
    </row>
    <row r="124" spans="10:23" ht="13">
      <c r="J124" s="122"/>
      <c r="K124" s="122"/>
      <c r="L124" s="87"/>
      <c r="N124" s="1"/>
      <c r="T124" s="122"/>
      <c r="U124" s="122"/>
      <c r="V124" s="79"/>
      <c r="W124" s="81"/>
    </row>
    <row r="125" spans="10:23" ht="13">
      <c r="J125" s="122"/>
      <c r="K125" s="122"/>
      <c r="L125" s="87"/>
      <c r="N125" s="1"/>
      <c r="T125" s="122"/>
      <c r="U125" s="122"/>
      <c r="V125" s="79"/>
      <c r="W125" s="81"/>
    </row>
    <row r="126" spans="10:23" ht="13">
      <c r="J126" s="122"/>
      <c r="K126" s="122"/>
      <c r="L126" s="87"/>
      <c r="N126" s="1"/>
      <c r="T126" s="122"/>
      <c r="U126" s="122"/>
      <c r="V126" s="79"/>
      <c r="W126" s="81"/>
    </row>
    <row r="127" spans="10:23" ht="13">
      <c r="J127" s="122"/>
      <c r="K127" s="122"/>
      <c r="L127" s="87"/>
      <c r="N127" s="1"/>
      <c r="T127" s="122"/>
      <c r="U127" s="122"/>
      <c r="V127" s="79"/>
      <c r="W127" s="81"/>
    </row>
    <row r="128" spans="10:23" ht="13">
      <c r="J128" s="122"/>
      <c r="K128" s="122"/>
      <c r="L128" s="87"/>
      <c r="N128" s="1"/>
      <c r="T128" s="122"/>
      <c r="U128" s="122"/>
      <c r="V128" s="79"/>
      <c r="W128" s="81"/>
    </row>
    <row r="129" spans="10:23" ht="13">
      <c r="J129" s="122"/>
      <c r="K129" s="122"/>
      <c r="L129" s="87"/>
      <c r="N129" s="1"/>
      <c r="T129" s="122"/>
      <c r="U129" s="122"/>
      <c r="V129" s="79"/>
      <c r="W129" s="81"/>
    </row>
    <row r="130" spans="10:23" ht="13">
      <c r="J130" s="122"/>
      <c r="K130" s="122"/>
      <c r="L130" s="87"/>
      <c r="N130" s="1"/>
      <c r="T130" s="122"/>
      <c r="U130" s="122"/>
      <c r="V130" s="79"/>
      <c r="W130" s="81"/>
    </row>
    <row r="131" spans="10:23" ht="13">
      <c r="J131" s="122"/>
      <c r="K131" s="122"/>
      <c r="L131" s="87"/>
      <c r="N131" s="1"/>
      <c r="T131" s="122"/>
      <c r="U131" s="122"/>
      <c r="V131" s="79"/>
      <c r="W131" s="81"/>
    </row>
    <row r="132" spans="10:23" ht="13">
      <c r="J132" s="122"/>
      <c r="K132" s="122"/>
      <c r="L132" s="87"/>
      <c r="N132" s="1"/>
      <c r="T132" s="122"/>
      <c r="U132" s="122"/>
      <c r="V132" s="79"/>
      <c r="W132" s="81"/>
    </row>
    <row r="133" spans="10:23" ht="13">
      <c r="J133" s="122"/>
      <c r="K133" s="122"/>
      <c r="L133" s="87"/>
      <c r="N133" s="1"/>
      <c r="T133" s="122"/>
      <c r="U133" s="122"/>
      <c r="V133" s="79"/>
      <c r="W133" s="81"/>
    </row>
    <row r="134" spans="10:23" ht="13">
      <c r="J134" s="122"/>
      <c r="K134" s="122"/>
      <c r="L134" s="87"/>
      <c r="N134" s="1"/>
      <c r="T134" s="122"/>
      <c r="U134" s="122"/>
      <c r="V134" s="79"/>
      <c r="W134" s="81"/>
    </row>
    <row r="135" spans="10:23" ht="13">
      <c r="J135" s="122"/>
      <c r="K135" s="122"/>
      <c r="L135" s="87"/>
      <c r="N135" s="1"/>
      <c r="T135" s="122"/>
      <c r="U135" s="122"/>
      <c r="V135" s="79"/>
      <c r="W135" s="81"/>
    </row>
    <row r="136" spans="10:23" ht="13">
      <c r="J136" s="122"/>
      <c r="K136" s="122"/>
      <c r="L136" s="87"/>
      <c r="N136" s="1"/>
      <c r="T136" s="122"/>
      <c r="U136" s="122"/>
      <c r="V136" s="79"/>
      <c r="W136" s="81"/>
    </row>
    <row r="137" spans="10:23" ht="13">
      <c r="J137" s="122"/>
      <c r="K137" s="122"/>
      <c r="L137" s="87"/>
      <c r="N137" s="1"/>
      <c r="T137" s="122"/>
      <c r="U137" s="122"/>
      <c r="V137" s="79"/>
      <c r="W137" s="81"/>
    </row>
    <row r="138" spans="10:23" ht="13">
      <c r="J138" s="122"/>
      <c r="K138" s="122"/>
      <c r="L138" s="87"/>
      <c r="N138" s="1"/>
      <c r="T138" s="122"/>
      <c r="U138" s="122"/>
      <c r="V138" s="79"/>
      <c r="W138" s="81"/>
    </row>
    <row r="139" spans="10:23" ht="13">
      <c r="J139" s="122"/>
      <c r="K139" s="122"/>
      <c r="L139" s="87"/>
      <c r="N139" s="1"/>
      <c r="T139" s="122"/>
      <c r="U139" s="122"/>
      <c r="V139" s="79"/>
      <c r="W139" s="81"/>
    </row>
    <row r="140" spans="10:23" ht="13">
      <c r="J140" s="122"/>
      <c r="K140" s="122"/>
      <c r="L140" s="87"/>
      <c r="N140" s="1"/>
      <c r="T140" s="122"/>
      <c r="U140" s="122"/>
      <c r="V140" s="79"/>
      <c r="W140" s="81"/>
    </row>
    <row r="141" spans="10:23" ht="13">
      <c r="J141" s="122"/>
      <c r="K141" s="122"/>
      <c r="L141" s="87"/>
      <c r="N141" s="1"/>
      <c r="T141" s="122"/>
      <c r="U141" s="122"/>
      <c r="V141" s="79"/>
      <c r="W141" s="81"/>
    </row>
    <row r="142" spans="10:23" ht="13">
      <c r="J142" s="122"/>
      <c r="K142" s="122"/>
      <c r="L142" s="87"/>
      <c r="N142" s="1"/>
      <c r="T142" s="122"/>
      <c r="U142" s="122"/>
      <c r="V142" s="79"/>
      <c r="W142" s="81"/>
    </row>
    <row r="143" spans="10:23" ht="13">
      <c r="J143" s="122"/>
      <c r="K143" s="122"/>
      <c r="L143" s="87"/>
      <c r="N143" s="1"/>
      <c r="T143" s="122"/>
      <c r="U143" s="122"/>
      <c r="V143" s="79"/>
      <c r="W143" s="81"/>
    </row>
    <row r="144" spans="10:23" ht="13">
      <c r="J144" s="122"/>
      <c r="K144" s="122"/>
      <c r="L144" s="87"/>
      <c r="N144" s="1"/>
      <c r="T144" s="122"/>
      <c r="U144" s="122"/>
      <c r="V144" s="79"/>
      <c r="W144" s="81"/>
    </row>
    <row r="145" spans="10:23" ht="13">
      <c r="J145" s="122"/>
      <c r="K145" s="122"/>
      <c r="L145" s="87"/>
      <c r="N145" s="1"/>
      <c r="T145" s="122"/>
      <c r="U145" s="122"/>
      <c r="V145" s="79"/>
      <c r="W145" s="81"/>
    </row>
    <row r="146" spans="10:23" ht="13">
      <c r="J146" s="122"/>
      <c r="K146" s="122"/>
      <c r="L146" s="87"/>
      <c r="N146" s="1"/>
      <c r="T146" s="122"/>
      <c r="U146" s="122"/>
      <c r="V146" s="79"/>
      <c r="W146" s="81"/>
    </row>
    <row r="147" spans="10:23" ht="13">
      <c r="J147" s="122"/>
      <c r="K147" s="122"/>
      <c r="L147" s="87"/>
      <c r="N147" s="1"/>
      <c r="T147" s="122"/>
      <c r="U147" s="122"/>
      <c r="V147" s="79"/>
      <c r="W147" s="81"/>
    </row>
    <row r="148" spans="10:23" ht="13">
      <c r="J148" s="122"/>
      <c r="K148" s="122"/>
      <c r="L148" s="87"/>
      <c r="N148" s="1"/>
      <c r="T148" s="122"/>
      <c r="U148" s="122"/>
      <c r="V148" s="79"/>
      <c r="W148" s="81"/>
    </row>
    <row r="149" spans="10:23" ht="13">
      <c r="J149" s="122"/>
      <c r="K149" s="122"/>
      <c r="L149" s="87"/>
      <c r="N149" s="1"/>
      <c r="T149" s="122"/>
      <c r="U149" s="122"/>
      <c r="V149" s="79"/>
      <c r="W149" s="81"/>
    </row>
    <row r="150" spans="10:23" ht="13">
      <c r="J150" s="122"/>
      <c r="K150" s="122"/>
      <c r="L150" s="87"/>
      <c r="N150" s="1"/>
      <c r="T150" s="122"/>
      <c r="U150" s="122"/>
      <c r="V150" s="79"/>
      <c r="W150" s="81"/>
    </row>
    <row r="151" spans="10:23" ht="13">
      <c r="J151" s="122"/>
      <c r="K151" s="122"/>
      <c r="L151" s="87"/>
      <c r="N151" s="1"/>
      <c r="T151" s="122"/>
      <c r="U151" s="122"/>
      <c r="V151" s="79"/>
      <c r="W151" s="81"/>
    </row>
    <row r="152" spans="10:23" ht="13">
      <c r="J152" s="122"/>
      <c r="K152" s="122"/>
      <c r="L152" s="87"/>
      <c r="N152" s="1"/>
      <c r="T152" s="122"/>
      <c r="U152" s="122"/>
      <c r="V152" s="79"/>
      <c r="W152" s="81"/>
    </row>
    <row r="153" spans="10:23" ht="13">
      <c r="J153" s="122"/>
      <c r="K153" s="122"/>
      <c r="L153" s="87"/>
      <c r="N153" s="1"/>
      <c r="T153" s="122"/>
      <c r="U153" s="122"/>
      <c r="V153" s="79"/>
      <c r="W153" s="81"/>
    </row>
    <row r="154" spans="10:23" ht="13">
      <c r="J154" s="122"/>
      <c r="K154" s="122"/>
      <c r="L154" s="87"/>
      <c r="N154" s="1"/>
      <c r="T154" s="122"/>
      <c r="U154" s="122"/>
      <c r="V154" s="79"/>
      <c r="W154" s="81"/>
    </row>
    <row r="155" spans="10:23" ht="13">
      <c r="J155" s="122"/>
      <c r="K155" s="122"/>
      <c r="L155" s="87"/>
      <c r="N155" s="1"/>
      <c r="T155" s="122"/>
      <c r="U155" s="122"/>
      <c r="V155" s="79"/>
      <c r="W155" s="81"/>
    </row>
    <row r="156" spans="10:23" ht="13">
      <c r="J156" s="122"/>
      <c r="K156" s="122"/>
      <c r="L156" s="87"/>
      <c r="N156" s="1"/>
      <c r="T156" s="122"/>
      <c r="U156" s="122"/>
      <c r="V156" s="79"/>
      <c r="W156" s="81"/>
    </row>
    <row r="157" spans="10:23" ht="13">
      <c r="J157" s="122"/>
      <c r="K157" s="122"/>
      <c r="L157" s="87"/>
      <c r="N157" s="1"/>
      <c r="T157" s="122"/>
      <c r="U157" s="122"/>
      <c r="V157" s="79"/>
      <c r="W157" s="81"/>
    </row>
    <row r="158" spans="10:23" ht="13">
      <c r="J158" s="122"/>
      <c r="K158" s="122"/>
      <c r="L158" s="87"/>
      <c r="N158" s="1"/>
      <c r="T158" s="122"/>
      <c r="U158" s="122"/>
      <c r="V158" s="79"/>
      <c r="W158" s="81"/>
    </row>
    <row r="159" spans="10:23" ht="13">
      <c r="J159" s="122"/>
      <c r="K159" s="122"/>
      <c r="L159" s="87"/>
      <c r="N159" s="1"/>
      <c r="T159" s="122"/>
      <c r="U159" s="122"/>
      <c r="V159" s="79"/>
      <c r="W159" s="81"/>
    </row>
    <row r="160" spans="10:23" ht="13">
      <c r="J160" s="122"/>
      <c r="K160" s="122"/>
      <c r="L160" s="87"/>
      <c r="N160" s="1"/>
      <c r="T160" s="122"/>
      <c r="U160" s="122"/>
      <c r="V160" s="79"/>
      <c r="W160" s="81"/>
    </row>
    <row r="161" spans="10:23" ht="13">
      <c r="J161" s="122"/>
      <c r="K161" s="122"/>
      <c r="L161" s="87"/>
      <c r="N161" s="1"/>
      <c r="T161" s="122"/>
      <c r="U161" s="122"/>
      <c r="V161" s="79"/>
      <c r="W161" s="81"/>
    </row>
    <row r="162" spans="10:23" ht="13">
      <c r="J162" s="122"/>
      <c r="K162" s="122"/>
      <c r="L162" s="87"/>
      <c r="N162" s="1"/>
      <c r="T162" s="122"/>
      <c r="U162" s="122"/>
      <c r="V162" s="79"/>
      <c r="W162" s="81"/>
    </row>
    <row r="163" spans="10:23" ht="13">
      <c r="J163" s="122"/>
      <c r="K163" s="122"/>
      <c r="L163" s="87"/>
      <c r="N163" s="1"/>
      <c r="T163" s="122"/>
      <c r="U163" s="122"/>
      <c r="V163" s="79"/>
      <c r="W163" s="81"/>
    </row>
    <row r="164" spans="10:23" ht="13">
      <c r="J164" s="122"/>
      <c r="K164" s="122"/>
      <c r="L164" s="87"/>
      <c r="N164" s="1"/>
      <c r="T164" s="122"/>
      <c r="U164" s="122"/>
      <c r="V164" s="79"/>
      <c r="W164" s="81"/>
    </row>
    <row r="165" spans="10:23" ht="13">
      <c r="J165" s="122"/>
      <c r="K165" s="122"/>
      <c r="L165" s="87"/>
      <c r="N165" s="1"/>
      <c r="T165" s="122"/>
      <c r="U165" s="122"/>
      <c r="V165" s="79"/>
      <c r="W165" s="81"/>
    </row>
    <row r="166" spans="10:23" ht="13">
      <c r="J166" s="122"/>
      <c r="K166" s="122"/>
      <c r="L166" s="87"/>
      <c r="N166" s="1"/>
      <c r="T166" s="122"/>
      <c r="U166" s="122"/>
      <c r="V166" s="79"/>
      <c r="W166" s="81"/>
    </row>
    <row r="167" spans="10:23" ht="13">
      <c r="J167" s="122"/>
      <c r="K167" s="122"/>
      <c r="L167" s="87"/>
      <c r="N167" s="1"/>
      <c r="T167" s="122"/>
      <c r="U167" s="122"/>
      <c r="V167" s="79"/>
      <c r="W167" s="81"/>
    </row>
    <row r="168" spans="10:23" ht="13">
      <c r="J168" s="122"/>
      <c r="K168" s="122"/>
      <c r="L168" s="87"/>
      <c r="N168" s="1"/>
      <c r="T168" s="122"/>
      <c r="U168" s="122"/>
      <c r="V168" s="79"/>
      <c r="W168" s="81"/>
    </row>
    <row r="169" spans="10:23" ht="13">
      <c r="J169" s="122"/>
      <c r="K169" s="122"/>
      <c r="L169" s="87"/>
      <c r="N169" s="1"/>
      <c r="T169" s="122"/>
      <c r="U169" s="122"/>
      <c r="V169" s="79"/>
      <c r="W169" s="81"/>
    </row>
    <row r="170" spans="10:23" ht="13">
      <c r="J170" s="122"/>
      <c r="K170" s="122"/>
      <c r="L170" s="87"/>
      <c r="N170" s="1"/>
      <c r="T170" s="122"/>
      <c r="U170" s="122"/>
      <c r="V170" s="79"/>
      <c r="W170" s="81"/>
    </row>
    <row r="171" spans="10:23" ht="13">
      <c r="J171" s="122"/>
      <c r="K171" s="122"/>
      <c r="L171" s="87"/>
      <c r="N171" s="1"/>
      <c r="T171" s="122"/>
      <c r="U171" s="122"/>
      <c r="V171" s="79"/>
      <c r="W171" s="81"/>
    </row>
    <row r="172" spans="10:23" ht="13">
      <c r="J172" s="122"/>
      <c r="K172" s="122"/>
      <c r="L172" s="87"/>
      <c r="N172" s="1"/>
      <c r="T172" s="122"/>
      <c r="U172" s="122"/>
      <c r="V172" s="79"/>
      <c r="W172" s="81"/>
    </row>
    <row r="173" spans="10:23" ht="13">
      <c r="J173" s="122"/>
      <c r="K173" s="122"/>
      <c r="L173" s="87"/>
      <c r="N173" s="1"/>
      <c r="T173" s="122"/>
      <c r="U173" s="122"/>
      <c r="V173" s="79"/>
      <c r="W173" s="81"/>
    </row>
    <row r="174" spans="10:23" ht="13">
      <c r="J174" s="122"/>
      <c r="K174" s="122"/>
      <c r="L174" s="87"/>
      <c r="N174" s="1"/>
      <c r="T174" s="122"/>
      <c r="U174" s="122"/>
      <c r="V174" s="79"/>
      <c r="W174" s="81"/>
    </row>
    <row r="175" spans="10:23" ht="13">
      <c r="J175" s="122"/>
      <c r="K175" s="122"/>
      <c r="L175" s="87"/>
      <c r="N175" s="1"/>
      <c r="T175" s="122"/>
      <c r="U175" s="122"/>
      <c r="V175" s="79"/>
      <c r="W175" s="81"/>
    </row>
    <row r="176" spans="10:23" ht="13">
      <c r="J176" s="122"/>
      <c r="K176" s="122"/>
      <c r="L176" s="87"/>
      <c r="N176" s="1"/>
      <c r="T176" s="122"/>
      <c r="U176" s="122"/>
      <c r="V176" s="79"/>
      <c r="W176" s="81"/>
    </row>
    <row r="177" spans="10:23" ht="13">
      <c r="J177" s="122"/>
      <c r="K177" s="122"/>
      <c r="L177" s="87"/>
      <c r="N177" s="1"/>
      <c r="T177" s="122"/>
      <c r="U177" s="122"/>
      <c r="V177" s="79"/>
      <c r="W177" s="81"/>
    </row>
    <row r="178" spans="10:23" ht="13">
      <c r="J178" s="122"/>
      <c r="K178" s="122"/>
      <c r="L178" s="87"/>
      <c r="N178" s="1"/>
      <c r="T178" s="122"/>
      <c r="U178" s="122"/>
      <c r="V178" s="79"/>
      <c r="W178" s="81"/>
    </row>
    <row r="179" spans="10:23" ht="13">
      <c r="J179" s="122"/>
      <c r="K179" s="122"/>
      <c r="L179" s="87"/>
      <c r="N179" s="1"/>
      <c r="T179" s="122"/>
      <c r="U179" s="122"/>
      <c r="V179" s="79"/>
      <c r="W179" s="81"/>
    </row>
    <row r="180" spans="10:23" ht="13">
      <c r="J180" s="122"/>
      <c r="K180" s="122"/>
      <c r="L180" s="87"/>
      <c r="N180" s="1"/>
      <c r="T180" s="122"/>
      <c r="U180" s="122"/>
      <c r="V180" s="79"/>
      <c r="W180" s="81"/>
    </row>
    <row r="181" spans="10:23" ht="13">
      <c r="J181" s="122"/>
      <c r="K181" s="122"/>
      <c r="L181" s="87"/>
      <c r="N181" s="1"/>
      <c r="T181" s="122"/>
      <c r="U181" s="122"/>
      <c r="V181" s="79"/>
      <c r="W181" s="81"/>
    </row>
    <row r="182" spans="10:23" ht="13">
      <c r="J182" s="122"/>
      <c r="K182" s="122"/>
      <c r="L182" s="87"/>
      <c r="N182" s="1"/>
      <c r="T182" s="122"/>
      <c r="U182" s="122"/>
      <c r="V182" s="79"/>
      <c r="W182" s="81"/>
    </row>
    <row r="183" spans="10:23" ht="13">
      <c r="J183" s="122"/>
      <c r="K183" s="122"/>
      <c r="L183" s="87"/>
      <c r="N183" s="1"/>
      <c r="T183" s="122"/>
      <c r="U183" s="122"/>
      <c r="V183" s="79"/>
      <c r="W183" s="81"/>
    </row>
    <row r="184" spans="10:23" ht="13">
      <c r="J184" s="122"/>
      <c r="K184" s="122"/>
      <c r="L184" s="87"/>
      <c r="N184" s="1"/>
      <c r="T184" s="122"/>
      <c r="U184" s="122"/>
      <c r="V184" s="79"/>
      <c r="W184" s="81"/>
    </row>
    <row r="185" spans="10:23" ht="13">
      <c r="J185" s="122"/>
      <c r="K185" s="122"/>
      <c r="L185" s="87"/>
      <c r="N185" s="1"/>
      <c r="T185" s="122"/>
      <c r="U185" s="122"/>
      <c r="V185" s="79"/>
      <c r="W185" s="81"/>
    </row>
    <row r="186" spans="10:23" ht="13">
      <c r="J186" s="122"/>
      <c r="K186" s="122"/>
      <c r="L186" s="87"/>
      <c r="N186" s="1"/>
      <c r="T186" s="122"/>
      <c r="U186" s="122"/>
      <c r="V186" s="79"/>
      <c r="W186" s="81"/>
    </row>
    <row r="187" spans="10:23" ht="13">
      <c r="J187" s="122"/>
      <c r="K187" s="122"/>
      <c r="L187" s="87"/>
      <c r="N187" s="1"/>
      <c r="T187" s="122"/>
      <c r="U187" s="122"/>
      <c r="V187" s="79"/>
      <c r="W187" s="81"/>
    </row>
    <row r="188" spans="10:23" ht="13">
      <c r="J188" s="122"/>
      <c r="K188" s="122"/>
      <c r="L188" s="87"/>
      <c r="N188" s="1"/>
      <c r="T188" s="122"/>
      <c r="U188" s="122"/>
      <c r="V188" s="79"/>
      <c r="W188" s="81"/>
    </row>
    <row r="189" spans="10:23" ht="13">
      <c r="J189" s="122"/>
      <c r="K189" s="122"/>
      <c r="L189" s="87"/>
      <c r="N189" s="1"/>
      <c r="T189" s="122"/>
      <c r="U189" s="122"/>
      <c r="V189" s="79"/>
      <c r="W189" s="81"/>
    </row>
    <row r="190" spans="10:23" ht="13">
      <c r="J190" s="122"/>
      <c r="K190" s="122"/>
      <c r="L190" s="87"/>
      <c r="N190" s="1"/>
      <c r="T190" s="122"/>
      <c r="U190" s="122"/>
      <c r="V190" s="79"/>
      <c r="W190" s="81"/>
    </row>
    <row r="191" spans="10:23" ht="13">
      <c r="J191" s="122"/>
      <c r="K191" s="122"/>
      <c r="L191" s="87"/>
      <c r="N191" s="1"/>
      <c r="T191" s="122"/>
      <c r="U191" s="122"/>
      <c r="V191" s="79"/>
      <c r="W191" s="81"/>
    </row>
    <row r="192" spans="10:23" ht="13">
      <c r="J192" s="122"/>
      <c r="K192" s="122"/>
      <c r="L192" s="87"/>
      <c r="N192" s="1"/>
      <c r="T192" s="122"/>
      <c r="U192" s="122"/>
      <c r="V192" s="79"/>
      <c r="W192" s="81"/>
    </row>
    <row r="193" spans="10:23" ht="13">
      <c r="J193" s="122"/>
      <c r="K193" s="122"/>
      <c r="L193" s="87"/>
      <c r="N193" s="1"/>
      <c r="T193" s="122"/>
      <c r="U193" s="122"/>
      <c r="V193" s="79"/>
      <c r="W193" s="81"/>
    </row>
    <row r="194" spans="10:23" ht="13">
      <c r="J194" s="122"/>
      <c r="K194" s="122"/>
      <c r="L194" s="87"/>
      <c r="N194" s="1"/>
      <c r="T194" s="122"/>
      <c r="U194" s="122"/>
      <c r="V194" s="79"/>
      <c r="W194" s="81"/>
    </row>
    <row r="195" spans="10:23" ht="13">
      <c r="J195" s="122"/>
      <c r="K195" s="122"/>
      <c r="L195" s="87"/>
      <c r="N195" s="1"/>
      <c r="T195" s="122"/>
      <c r="U195" s="122"/>
      <c r="V195" s="79"/>
      <c r="W195" s="81"/>
    </row>
    <row r="196" spans="10:23" ht="13">
      <c r="J196" s="122"/>
      <c r="K196" s="122"/>
      <c r="L196" s="87"/>
      <c r="N196" s="1"/>
      <c r="T196" s="122"/>
      <c r="U196" s="122"/>
      <c r="V196" s="79"/>
      <c r="W196" s="81"/>
    </row>
    <row r="197" spans="10:23" ht="13">
      <c r="J197" s="122"/>
      <c r="K197" s="122"/>
      <c r="L197" s="87"/>
      <c r="N197" s="1"/>
      <c r="T197" s="122"/>
      <c r="U197" s="122"/>
      <c r="V197" s="79"/>
      <c r="W197" s="81"/>
    </row>
    <row r="198" spans="10:23" ht="13">
      <c r="J198" s="122"/>
      <c r="K198" s="122"/>
      <c r="L198" s="87"/>
      <c r="N198" s="1"/>
      <c r="T198" s="122"/>
      <c r="U198" s="122"/>
      <c r="V198" s="79"/>
      <c r="W198" s="81"/>
    </row>
    <row r="199" spans="10:23" ht="13">
      <c r="J199" s="122"/>
      <c r="K199" s="122"/>
      <c r="L199" s="87"/>
      <c r="N199" s="1"/>
      <c r="T199" s="122"/>
      <c r="U199" s="122"/>
      <c r="V199" s="79"/>
      <c r="W199" s="81"/>
    </row>
    <row r="200" spans="10:23" ht="13">
      <c r="J200" s="122"/>
      <c r="K200" s="122"/>
      <c r="L200" s="87"/>
      <c r="N200" s="1"/>
      <c r="T200" s="122"/>
      <c r="U200" s="122"/>
      <c r="V200" s="79"/>
      <c r="W200" s="81"/>
    </row>
    <row r="201" spans="10:23" ht="13">
      <c r="J201" s="122"/>
      <c r="K201" s="122"/>
      <c r="L201" s="87"/>
      <c r="N201" s="1"/>
      <c r="T201" s="122"/>
      <c r="U201" s="122"/>
      <c r="V201" s="79"/>
      <c r="W201" s="81"/>
    </row>
    <row r="202" spans="10:23" ht="13">
      <c r="J202" s="122"/>
      <c r="K202" s="122"/>
      <c r="L202" s="87"/>
      <c r="N202" s="1"/>
      <c r="T202" s="122"/>
      <c r="U202" s="122"/>
      <c r="V202" s="79"/>
      <c r="W202" s="81"/>
    </row>
    <row r="203" spans="10:23" ht="13">
      <c r="J203" s="122"/>
      <c r="K203" s="122"/>
      <c r="L203" s="87"/>
      <c r="N203" s="1"/>
      <c r="T203" s="122"/>
      <c r="U203" s="122"/>
      <c r="V203" s="79"/>
      <c r="W203" s="81"/>
    </row>
    <row r="204" spans="10:23" ht="13">
      <c r="J204" s="122"/>
      <c r="K204" s="122"/>
      <c r="L204" s="87"/>
      <c r="N204" s="1"/>
      <c r="T204" s="122"/>
      <c r="U204" s="122"/>
      <c r="V204" s="79"/>
      <c r="W204" s="81"/>
    </row>
    <row r="205" spans="10:23" ht="13">
      <c r="J205" s="122"/>
      <c r="K205" s="122"/>
      <c r="L205" s="87"/>
      <c r="N205" s="1"/>
      <c r="T205" s="122"/>
      <c r="U205" s="122"/>
      <c r="V205" s="79"/>
      <c r="W205" s="81"/>
    </row>
    <row r="206" spans="10:23" ht="13">
      <c r="J206" s="122"/>
      <c r="K206" s="122"/>
      <c r="L206" s="87"/>
      <c r="N206" s="1"/>
      <c r="T206" s="122"/>
      <c r="U206" s="122"/>
      <c r="V206" s="79"/>
      <c r="W206" s="81"/>
    </row>
    <row r="207" spans="10:23" ht="13">
      <c r="J207" s="122"/>
      <c r="K207" s="122"/>
      <c r="L207" s="87"/>
      <c r="N207" s="1"/>
      <c r="T207" s="122"/>
      <c r="U207" s="122"/>
      <c r="V207" s="79"/>
      <c r="W207" s="81"/>
    </row>
    <row r="208" spans="10:23" ht="13">
      <c r="J208" s="122"/>
      <c r="K208" s="122"/>
      <c r="L208" s="87"/>
      <c r="N208" s="1"/>
      <c r="T208" s="122"/>
      <c r="U208" s="122"/>
      <c r="V208" s="79"/>
      <c r="W208" s="81"/>
    </row>
    <row r="209" spans="10:23" ht="13">
      <c r="J209" s="122"/>
      <c r="K209" s="122"/>
      <c r="L209" s="87"/>
      <c r="N209" s="1"/>
      <c r="T209" s="122"/>
      <c r="U209" s="122"/>
      <c r="V209" s="79"/>
      <c r="W209" s="81"/>
    </row>
    <row r="210" spans="10:23" ht="13">
      <c r="J210" s="122"/>
      <c r="K210" s="122"/>
      <c r="L210" s="87"/>
      <c r="N210" s="1"/>
      <c r="T210" s="122"/>
      <c r="U210" s="122"/>
      <c r="V210" s="79"/>
      <c r="W210" s="81"/>
    </row>
    <row r="211" spans="10:23" ht="13">
      <c r="J211" s="122"/>
      <c r="K211" s="122"/>
      <c r="L211" s="87"/>
      <c r="N211" s="1"/>
      <c r="T211" s="122"/>
      <c r="U211" s="122"/>
      <c r="V211" s="79"/>
      <c r="W211" s="81"/>
    </row>
    <row r="212" spans="10:23" ht="13">
      <c r="J212" s="122"/>
      <c r="K212" s="122"/>
      <c r="L212" s="87"/>
      <c r="N212" s="1"/>
      <c r="T212" s="122"/>
      <c r="U212" s="122"/>
      <c r="V212" s="79"/>
      <c r="W212" s="81"/>
    </row>
    <row r="213" spans="10:23" ht="13">
      <c r="J213" s="122"/>
      <c r="K213" s="122"/>
      <c r="L213" s="87"/>
      <c r="N213" s="1"/>
      <c r="T213" s="122"/>
      <c r="U213" s="122"/>
      <c r="V213" s="79"/>
      <c r="W213" s="81"/>
    </row>
    <row r="214" spans="10:23" ht="13">
      <c r="J214" s="122"/>
      <c r="K214" s="122"/>
      <c r="L214" s="87"/>
      <c r="N214" s="1"/>
      <c r="T214" s="122"/>
      <c r="U214" s="122"/>
      <c r="V214" s="79"/>
      <c r="W214" s="81"/>
    </row>
    <row r="215" spans="10:23" ht="13">
      <c r="J215" s="122"/>
      <c r="K215" s="122"/>
      <c r="L215" s="87"/>
      <c r="N215" s="1"/>
      <c r="T215" s="122"/>
      <c r="U215" s="122"/>
      <c r="V215" s="79"/>
      <c r="W215" s="81"/>
    </row>
    <row r="216" spans="10:23" ht="13">
      <c r="J216" s="122"/>
      <c r="K216" s="122"/>
      <c r="L216" s="87"/>
      <c r="N216" s="1"/>
      <c r="T216" s="122"/>
      <c r="U216" s="122"/>
      <c r="V216" s="79"/>
      <c r="W216" s="81"/>
    </row>
    <row r="217" spans="10:23" ht="13">
      <c r="J217" s="122"/>
      <c r="K217" s="122"/>
      <c r="L217" s="87"/>
      <c r="N217" s="1"/>
      <c r="T217" s="122"/>
      <c r="U217" s="122"/>
      <c r="V217" s="79"/>
      <c r="W217" s="81"/>
    </row>
    <row r="218" spans="10:23" ht="13">
      <c r="J218" s="122"/>
      <c r="K218" s="122"/>
      <c r="L218" s="87"/>
      <c r="N218" s="1"/>
      <c r="T218" s="122"/>
      <c r="U218" s="122"/>
      <c r="V218" s="79"/>
      <c r="W218" s="81"/>
    </row>
    <row r="219" spans="10:23" ht="13">
      <c r="J219" s="122"/>
      <c r="K219" s="122"/>
      <c r="L219" s="87"/>
      <c r="N219" s="1"/>
      <c r="T219" s="122"/>
      <c r="U219" s="122"/>
      <c r="V219" s="79"/>
      <c r="W219" s="81"/>
    </row>
    <row r="220" spans="10:23" ht="13">
      <c r="J220" s="122"/>
      <c r="K220" s="122"/>
      <c r="L220" s="87"/>
      <c r="N220" s="1"/>
      <c r="T220" s="122"/>
      <c r="U220" s="122"/>
      <c r="V220" s="79"/>
      <c r="W220" s="81"/>
    </row>
    <row r="221" spans="10:23" ht="13">
      <c r="J221" s="122"/>
      <c r="K221" s="122"/>
      <c r="L221" s="87"/>
      <c r="N221" s="1"/>
      <c r="T221" s="122"/>
      <c r="U221" s="122"/>
      <c r="V221" s="79"/>
      <c r="W221" s="81"/>
    </row>
    <row r="222" spans="10:23" ht="13">
      <c r="J222" s="122"/>
      <c r="K222" s="122"/>
      <c r="L222" s="87"/>
      <c r="N222" s="1"/>
      <c r="T222" s="122"/>
      <c r="U222" s="122"/>
      <c r="V222" s="79"/>
      <c r="W222" s="81"/>
    </row>
    <row r="223" spans="10:23" ht="13">
      <c r="J223" s="122"/>
      <c r="K223" s="122"/>
      <c r="L223" s="87"/>
      <c r="N223" s="1"/>
      <c r="T223" s="122"/>
      <c r="U223" s="122"/>
      <c r="V223" s="79"/>
      <c r="W223" s="81"/>
    </row>
    <row r="224" spans="10:23" ht="13">
      <c r="J224" s="122"/>
      <c r="K224" s="122"/>
      <c r="L224" s="87"/>
      <c r="N224" s="1"/>
      <c r="T224" s="122"/>
      <c r="U224" s="122"/>
      <c r="V224" s="79"/>
      <c r="W224" s="81"/>
    </row>
    <row r="225" spans="10:23" ht="13">
      <c r="J225" s="122"/>
      <c r="K225" s="122"/>
      <c r="L225" s="87"/>
      <c r="N225" s="1"/>
      <c r="T225" s="122"/>
      <c r="U225" s="122"/>
      <c r="V225" s="79"/>
      <c r="W225" s="81"/>
    </row>
    <row r="226" spans="10:23" ht="13">
      <c r="J226" s="122"/>
      <c r="K226" s="122"/>
      <c r="L226" s="87"/>
      <c r="N226" s="1"/>
      <c r="T226" s="122"/>
      <c r="U226" s="122"/>
      <c r="V226" s="79"/>
      <c r="W226" s="81"/>
    </row>
    <row r="227" spans="10:23" ht="13">
      <c r="J227" s="122"/>
      <c r="K227" s="122"/>
      <c r="L227" s="87"/>
      <c r="N227" s="1"/>
      <c r="T227" s="122"/>
      <c r="U227" s="122"/>
      <c r="V227" s="79"/>
      <c r="W227" s="81"/>
    </row>
    <row r="228" spans="10:23" ht="13">
      <c r="J228" s="122"/>
      <c r="K228" s="122"/>
      <c r="L228" s="87"/>
      <c r="N228" s="1"/>
      <c r="T228" s="122"/>
      <c r="U228" s="122"/>
      <c r="V228" s="79"/>
      <c r="W228" s="81"/>
    </row>
    <row r="229" spans="10:23" ht="13">
      <c r="J229" s="122"/>
      <c r="K229" s="122"/>
      <c r="L229" s="87"/>
      <c r="N229" s="1"/>
      <c r="T229" s="122"/>
      <c r="U229" s="122"/>
      <c r="V229" s="79"/>
      <c r="W229" s="81"/>
    </row>
    <row r="230" spans="10:23" ht="13">
      <c r="J230" s="122"/>
      <c r="K230" s="122"/>
      <c r="L230" s="87"/>
      <c r="N230" s="1"/>
      <c r="T230" s="122"/>
      <c r="U230" s="122"/>
      <c r="V230" s="79"/>
      <c r="W230" s="81"/>
    </row>
    <row r="231" spans="10:23" ht="13">
      <c r="J231" s="122"/>
      <c r="K231" s="122"/>
      <c r="L231" s="87"/>
      <c r="N231" s="1"/>
      <c r="T231" s="122"/>
      <c r="U231" s="122"/>
      <c r="V231" s="79"/>
      <c r="W231" s="81"/>
    </row>
    <row r="232" spans="10:23" ht="13">
      <c r="J232" s="122"/>
      <c r="K232" s="122"/>
      <c r="L232" s="87"/>
      <c r="N232" s="1"/>
      <c r="T232" s="122"/>
      <c r="U232" s="122"/>
      <c r="V232" s="79"/>
      <c r="W232" s="81"/>
    </row>
    <row r="233" spans="10:23" ht="13">
      <c r="J233" s="122"/>
      <c r="K233" s="122"/>
      <c r="L233" s="87"/>
      <c r="N233" s="1"/>
      <c r="T233" s="122"/>
      <c r="U233" s="122"/>
      <c r="V233" s="79"/>
      <c r="W233" s="81"/>
    </row>
    <row r="234" spans="10:23" ht="13">
      <c r="J234" s="122"/>
      <c r="K234" s="122"/>
      <c r="L234" s="87"/>
      <c r="N234" s="1"/>
      <c r="T234" s="122"/>
      <c r="U234" s="122"/>
      <c r="V234" s="79"/>
      <c r="W234" s="81"/>
    </row>
    <row r="235" spans="10:23" ht="13">
      <c r="J235" s="122"/>
      <c r="K235" s="122"/>
      <c r="L235" s="87"/>
      <c r="N235" s="1"/>
      <c r="T235" s="122"/>
      <c r="U235" s="122"/>
      <c r="V235" s="79"/>
      <c r="W235" s="81"/>
    </row>
    <row r="236" spans="10:23" ht="13">
      <c r="J236" s="122"/>
      <c r="K236" s="122"/>
      <c r="L236" s="87"/>
      <c r="N236" s="1"/>
      <c r="T236" s="122"/>
      <c r="U236" s="122"/>
      <c r="V236" s="79"/>
      <c r="W236" s="81"/>
    </row>
    <row r="237" spans="10:23" ht="13">
      <c r="J237" s="122"/>
      <c r="K237" s="122"/>
      <c r="L237" s="87"/>
      <c r="N237" s="1"/>
      <c r="T237" s="122"/>
      <c r="U237" s="122"/>
      <c r="V237" s="79"/>
      <c r="W237" s="81"/>
    </row>
    <row r="238" spans="10:23" ht="13">
      <c r="J238" s="122"/>
      <c r="K238" s="122"/>
      <c r="L238" s="87"/>
      <c r="N238" s="1"/>
      <c r="T238" s="122"/>
      <c r="U238" s="122"/>
      <c r="V238" s="79"/>
      <c r="W238" s="81"/>
    </row>
    <row r="239" spans="10:23" ht="13">
      <c r="J239" s="122"/>
      <c r="K239" s="122"/>
      <c r="L239" s="87"/>
      <c r="N239" s="1"/>
      <c r="T239" s="122"/>
      <c r="U239" s="122"/>
      <c r="V239" s="79"/>
      <c r="W239" s="81"/>
    </row>
    <row r="240" spans="10:23" ht="13">
      <c r="J240" s="122"/>
      <c r="K240" s="122"/>
      <c r="L240" s="87"/>
      <c r="N240" s="1"/>
      <c r="T240" s="122"/>
      <c r="U240" s="122"/>
      <c r="V240" s="79"/>
      <c r="W240" s="81"/>
    </row>
    <row r="241" spans="10:23" ht="13">
      <c r="J241" s="122"/>
      <c r="K241" s="122"/>
      <c r="L241" s="87"/>
      <c r="N241" s="1"/>
      <c r="T241" s="122"/>
      <c r="U241" s="122"/>
      <c r="V241" s="79"/>
      <c r="W241" s="81"/>
    </row>
    <row r="242" spans="10:23" ht="13">
      <c r="J242" s="122"/>
      <c r="K242" s="122"/>
      <c r="L242" s="87"/>
      <c r="N242" s="1"/>
      <c r="T242" s="122"/>
      <c r="U242" s="122"/>
      <c r="V242" s="79"/>
      <c r="W242" s="81"/>
    </row>
    <row r="243" spans="10:23" ht="13">
      <c r="J243" s="122"/>
      <c r="K243" s="122"/>
      <c r="L243" s="87"/>
      <c r="N243" s="1"/>
      <c r="T243" s="122"/>
      <c r="U243" s="122"/>
      <c r="V243" s="79"/>
      <c r="W243" s="81"/>
    </row>
    <row r="244" spans="10:23" ht="13">
      <c r="J244" s="122"/>
      <c r="K244" s="122"/>
      <c r="L244" s="87"/>
      <c r="N244" s="1"/>
      <c r="T244" s="122"/>
      <c r="U244" s="122"/>
      <c r="V244" s="79"/>
      <c r="W244" s="81"/>
    </row>
    <row r="245" spans="10:23" ht="13">
      <c r="J245" s="122"/>
      <c r="K245" s="122"/>
      <c r="L245" s="87"/>
      <c r="N245" s="1"/>
      <c r="T245" s="122"/>
      <c r="U245" s="122"/>
      <c r="V245" s="79"/>
      <c r="W245" s="81"/>
    </row>
    <row r="246" spans="10:23" ht="13">
      <c r="J246" s="122"/>
      <c r="K246" s="122"/>
      <c r="L246" s="87"/>
      <c r="N246" s="1"/>
      <c r="T246" s="122"/>
      <c r="U246" s="122"/>
      <c r="V246" s="79"/>
      <c r="W246" s="81"/>
    </row>
    <row r="247" spans="10:23" ht="13">
      <c r="J247" s="122"/>
      <c r="K247" s="122"/>
      <c r="L247" s="87"/>
      <c r="N247" s="1"/>
      <c r="T247" s="122"/>
      <c r="U247" s="122"/>
      <c r="V247" s="79"/>
      <c r="W247" s="81"/>
    </row>
    <row r="248" spans="10:23" ht="13">
      <c r="J248" s="122"/>
      <c r="K248" s="122"/>
      <c r="L248" s="87"/>
      <c r="N248" s="1"/>
      <c r="T248" s="122"/>
      <c r="U248" s="122"/>
      <c r="V248" s="79"/>
      <c r="W248" s="81"/>
    </row>
    <row r="249" spans="10:23" ht="13">
      <c r="J249" s="122"/>
      <c r="K249" s="122"/>
      <c r="L249" s="87"/>
      <c r="N249" s="1"/>
      <c r="T249" s="122"/>
      <c r="U249" s="122"/>
      <c r="V249" s="79"/>
      <c r="W249" s="81"/>
    </row>
    <row r="250" spans="10:23" ht="13">
      <c r="J250" s="122"/>
      <c r="K250" s="122"/>
      <c r="L250" s="87"/>
      <c r="N250" s="1"/>
      <c r="T250" s="122"/>
      <c r="U250" s="122"/>
      <c r="V250" s="79"/>
      <c r="W250" s="81"/>
    </row>
    <row r="251" spans="10:23" ht="13">
      <c r="J251" s="122"/>
      <c r="K251" s="122"/>
      <c r="L251" s="87"/>
      <c r="N251" s="1"/>
      <c r="T251" s="122"/>
      <c r="U251" s="122"/>
      <c r="V251" s="79"/>
      <c r="W251" s="81"/>
    </row>
    <row r="252" spans="10:23" ht="13">
      <c r="J252" s="122"/>
      <c r="K252" s="122"/>
      <c r="L252" s="87"/>
      <c r="N252" s="1"/>
      <c r="T252" s="122"/>
      <c r="U252" s="122"/>
      <c r="V252" s="79"/>
      <c r="W252" s="81"/>
    </row>
    <row r="253" spans="10:23" ht="13">
      <c r="J253" s="122"/>
      <c r="K253" s="122"/>
      <c r="L253" s="87"/>
      <c r="N253" s="1"/>
      <c r="T253" s="122"/>
      <c r="U253" s="122"/>
      <c r="V253" s="79"/>
      <c r="W253" s="81"/>
    </row>
    <row r="254" spans="10:23" ht="13">
      <c r="J254" s="122"/>
      <c r="K254" s="122"/>
      <c r="L254" s="87"/>
      <c r="N254" s="1"/>
      <c r="T254" s="122"/>
      <c r="U254" s="122"/>
      <c r="V254" s="79"/>
      <c r="W254" s="81"/>
    </row>
    <row r="255" spans="10:23" ht="13">
      <c r="J255" s="122"/>
      <c r="K255" s="122"/>
      <c r="L255" s="87"/>
      <c r="N255" s="1"/>
      <c r="T255" s="122"/>
      <c r="U255" s="122"/>
      <c r="V255" s="79"/>
      <c r="W255" s="81"/>
    </row>
    <row r="256" spans="10:23" ht="13">
      <c r="J256" s="122"/>
      <c r="K256" s="122"/>
      <c r="L256" s="87"/>
      <c r="N256" s="1"/>
      <c r="T256" s="122"/>
      <c r="U256" s="122"/>
      <c r="V256" s="79"/>
      <c r="W256" s="81"/>
    </row>
    <row r="257" spans="10:23" ht="13">
      <c r="J257" s="122"/>
      <c r="K257" s="122"/>
      <c r="L257" s="87"/>
      <c r="N257" s="1"/>
      <c r="T257" s="122"/>
      <c r="U257" s="122"/>
      <c r="V257" s="79"/>
      <c r="W257" s="81"/>
    </row>
    <row r="258" spans="10:23" ht="13">
      <c r="J258" s="122"/>
      <c r="K258" s="122"/>
      <c r="L258" s="87"/>
      <c r="N258" s="1"/>
      <c r="T258" s="122"/>
      <c r="U258" s="122"/>
      <c r="V258" s="79"/>
      <c r="W258" s="81"/>
    </row>
    <row r="259" spans="10:23" ht="13">
      <c r="J259" s="122"/>
      <c r="K259" s="122"/>
      <c r="L259" s="87"/>
      <c r="N259" s="1"/>
      <c r="T259" s="122"/>
      <c r="U259" s="122"/>
      <c r="V259" s="79"/>
      <c r="W259" s="81"/>
    </row>
    <row r="260" spans="10:23" ht="13">
      <c r="J260" s="122"/>
      <c r="K260" s="122"/>
      <c r="L260" s="87"/>
      <c r="N260" s="1"/>
      <c r="T260" s="122"/>
      <c r="U260" s="122"/>
      <c r="V260" s="79"/>
      <c r="W260" s="81"/>
    </row>
    <row r="261" spans="10:23" ht="13">
      <c r="J261" s="122"/>
      <c r="K261" s="122"/>
      <c r="L261" s="87"/>
      <c r="N261" s="1"/>
      <c r="T261" s="122"/>
      <c r="U261" s="122"/>
      <c r="V261" s="79"/>
      <c r="W261" s="81"/>
    </row>
    <row r="262" spans="10:23" ht="13">
      <c r="J262" s="122"/>
      <c r="K262" s="122"/>
      <c r="L262" s="87"/>
      <c r="N262" s="1"/>
      <c r="T262" s="122"/>
      <c r="U262" s="122"/>
      <c r="V262" s="79"/>
      <c r="W262" s="81"/>
    </row>
    <row r="263" spans="10:23" ht="13">
      <c r="J263" s="122"/>
      <c r="K263" s="122"/>
      <c r="L263" s="87"/>
      <c r="N263" s="1"/>
      <c r="T263" s="122"/>
      <c r="U263" s="122"/>
      <c r="V263" s="79"/>
      <c r="W263" s="81"/>
    </row>
    <row r="264" spans="10:23" ht="13">
      <c r="J264" s="122"/>
      <c r="K264" s="122"/>
      <c r="L264" s="87"/>
      <c r="N264" s="1"/>
      <c r="T264" s="122"/>
      <c r="U264" s="122"/>
      <c r="V264" s="79"/>
      <c r="W264" s="81"/>
    </row>
    <row r="265" spans="10:23" ht="13">
      <c r="J265" s="122"/>
      <c r="K265" s="122"/>
      <c r="L265" s="87"/>
      <c r="N265" s="1"/>
      <c r="T265" s="122"/>
      <c r="U265" s="122"/>
      <c r="V265" s="79"/>
      <c r="W265" s="81"/>
    </row>
    <row r="266" spans="10:23" ht="13">
      <c r="J266" s="122"/>
      <c r="K266" s="122"/>
      <c r="L266" s="87"/>
      <c r="N266" s="1"/>
      <c r="T266" s="122"/>
      <c r="U266" s="122"/>
      <c r="V266" s="79"/>
      <c r="W266" s="81"/>
    </row>
    <row r="267" spans="10:23" ht="13">
      <c r="J267" s="122"/>
      <c r="K267" s="122"/>
      <c r="L267" s="87"/>
      <c r="N267" s="1"/>
      <c r="T267" s="122"/>
      <c r="U267" s="122"/>
      <c r="V267" s="79"/>
      <c r="W267" s="81"/>
    </row>
    <row r="268" spans="10:23" ht="13">
      <c r="J268" s="122"/>
      <c r="K268" s="122"/>
      <c r="L268" s="87"/>
      <c r="N268" s="1"/>
      <c r="T268" s="122"/>
      <c r="U268" s="122"/>
      <c r="V268" s="79"/>
      <c r="W268" s="81"/>
    </row>
    <row r="269" spans="10:23" ht="13">
      <c r="J269" s="122"/>
      <c r="K269" s="122"/>
      <c r="L269" s="87"/>
      <c r="N269" s="1"/>
      <c r="T269" s="122"/>
      <c r="U269" s="122"/>
      <c r="V269" s="79"/>
      <c r="W269" s="81"/>
    </row>
    <row r="270" spans="10:23" ht="13">
      <c r="J270" s="122"/>
      <c r="K270" s="122"/>
      <c r="L270" s="87"/>
      <c r="N270" s="1"/>
      <c r="T270" s="122"/>
      <c r="U270" s="122"/>
      <c r="V270" s="79"/>
      <c r="W270" s="81"/>
    </row>
    <row r="271" spans="10:23" ht="13">
      <c r="J271" s="122"/>
      <c r="K271" s="122"/>
      <c r="L271" s="87"/>
      <c r="N271" s="1"/>
      <c r="T271" s="122"/>
      <c r="U271" s="122"/>
      <c r="V271" s="79"/>
      <c r="W271" s="81"/>
    </row>
    <row r="272" spans="10:23" ht="13">
      <c r="J272" s="122"/>
      <c r="K272" s="122"/>
      <c r="L272" s="87"/>
      <c r="N272" s="1"/>
      <c r="T272" s="122"/>
      <c r="U272" s="122"/>
      <c r="V272" s="79"/>
      <c r="W272" s="81"/>
    </row>
    <row r="273" spans="10:23" ht="13">
      <c r="J273" s="122"/>
      <c r="K273" s="122"/>
      <c r="L273" s="87"/>
      <c r="N273" s="1"/>
      <c r="T273" s="122"/>
      <c r="U273" s="122"/>
      <c r="V273" s="79"/>
      <c r="W273" s="81"/>
    </row>
    <row r="274" spans="10:23" ht="13">
      <c r="J274" s="122"/>
      <c r="K274" s="122"/>
      <c r="L274" s="87"/>
      <c r="N274" s="1"/>
      <c r="T274" s="122"/>
      <c r="U274" s="122"/>
      <c r="V274" s="79"/>
      <c r="W274" s="81"/>
    </row>
    <row r="275" spans="10:23" ht="13">
      <c r="J275" s="122"/>
      <c r="K275" s="122"/>
      <c r="L275" s="87"/>
      <c r="N275" s="1"/>
      <c r="T275" s="122"/>
      <c r="U275" s="122"/>
      <c r="V275" s="79"/>
      <c r="W275" s="81"/>
    </row>
    <row r="276" spans="10:23" ht="13">
      <c r="J276" s="122"/>
      <c r="K276" s="122"/>
      <c r="L276" s="87"/>
      <c r="N276" s="1"/>
      <c r="T276" s="122"/>
      <c r="U276" s="122"/>
      <c r="V276" s="79"/>
      <c r="W276" s="81"/>
    </row>
    <row r="277" spans="10:23" ht="13">
      <c r="J277" s="122"/>
      <c r="K277" s="122"/>
      <c r="L277" s="87"/>
      <c r="N277" s="1"/>
      <c r="T277" s="122"/>
      <c r="U277" s="122"/>
      <c r="V277" s="79"/>
      <c r="W277" s="81"/>
    </row>
    <row r="278" spans="10:23" ht="13">
      <c r="J278" s="122"/>
      <c r="K278" s="122"/>
      <c r="L278" s="87"/>
      <c r="N278" s="1"/>
      <c r="T278" s="122"/>
      <c r="U278" s="122"/>
      <c r="V278" s="79"/>
      <c r="W278" s="81"/>
    </row>
    <row r="279" spans="10:23" ht="13">
      <c r="J279" s="122"/>
      <c r="K279" s="122"/>
      <c r="L279" s="87"/>
      <c r="N279" s="1"/>
      <c r="T279" s="122"/>
      <c r="U279" s="122"/>
      <c r="V279" s="79"/>
      <c r="W279" s="81"/>
    </row>
    <row r="280" spans="10:23" ht="13">
      <c r="J280" s="122"/>
      <c r="K280" s="122"/>
      <c r="L280" s="87"/>
      <c r="N280" s="1"/>
      <c r="T280" s="122"/>
      <c r="U280" s="122"/>
      <c r="V280" s="79"/>
      <c r="W280" s="81"/>
    </row>
    <row r="281" spans="10:23" ht="13">
      <c r="J281" s="122"/>
      <c r="K281" s="122"/>
      <c r="L281" s="87"/>
      <c r="N281" s="1"/>
      <c r="T281" s="122"/>
      <c r="U281" s="122"/>
      <c r="V281" s="79"/>
      <c r="W281" s="81"/>
    </row>
    <row r="282" spans="10:23" ht="13">
      <c r="J282" s="122"/>
      <c r="K282" s="122"/>
      <c r="L282" s="87"/>
      <c r="N282" s="1"/>
      <c r="T282" s="122"/>
      <c r="U282" s="122"/>
      <c r="V282" s="79"/>
      <c r="W282" s="81"/>
    </row>
    <row r="283" spans="10:23" ht="13">
      <c r="J283" s="122"/>
      <c r="K283" s="122"/>
      <c r="L283" s="87"/>
      <c r="N283" s="1"/>
      <c r="T283" s="122"/>
      <c r="U283" s="122"/>
      <c r="V283" s="79"/>
      <c r="W283" s="81"/>
    </row>
    <row r="284" spans="10:23" ht="13">
      <c r="J284" s="122"/>
      <c r="K284" s="122"/>
      <c r="L284" s="87"/>
      <c r="N284" s="1"/>
      <c r="T284" s="122"/>
      <c r="U284" s="122"/>
      <c r="V284" s="79"/>
      <c r="W284" s="81"/>
    </row>
    <row r="285" spans="10:23" ht="13">
      <c r="J285" s="122"/>
      <c r="K285" s="122"/>
      <c r="L285" s="87"/>
      <c r="N285" s="1"/>
      <c r="T285" s="122"/>
      <c r="U285" s="122"/>
      <c r="V285" s="79"/>
      <c r="W285" s="81"/>
    </row>
    <row r="286" spans="10:23" ht="13">
      <c r="J286" s="122"/>
      <c r="K286" s="122"/>
      <c r="L286" s="87"/>
      <c r="N286" s="1"/>
      <c r="T286" s="122"/>
      <c r="U286" s="122"/>
      <c r="V286" s="79"/>
      <c r="W286" s="81"/>
    </row>
    <row r="287" spans="10:23" ht="13">
      <c r="J287" s="122"/>
      <c r="K287" s="122"/>
      <c r="L287" s="87"/>
      <c r="N287" s="1"/>
      <c r="T287" s="122"/>
      <c r="U287" s="122"/>
      <c r="V287" s="79"/>
      <c r="W287" s="81"/>
    </row>
    <row r="288" spans="10:23" ht="13">
      <c r="J288" s="122"/>
      <c r="K288" s="122"/>
      <c r="L288" s="87"/>
      <c r="N288" s="1"/>
      <c r="T288" s="122"/>
      <c r="U288" s="122"/>
      <c r="V288" s="79"/>
      <c r="W288" s="81"/>
    </row>
    <row r="289" spans="10:23" ht="13">
      <c r="J289" s="122"/>
      <c r="K289" s="122"/>
      <c r="L289" s="87"/>
      <c r="N289" s="1"/>
      <c r="T289" s="122"/>
      <c r="U289" s="122"/>
      <c r="V289" s="79"/>
      <c r="W289" s="81"/>
    </row>
    <row r="290" spans="10:23" ht="13">
      <c r="J290" s="122"/>
      <c r="K290" s="122"/>
      <c r="L290" s="87"/>
      <c r="N290" s="1"/>
      <c r="T290" s="122"/>
      <c r="U290" s="122"/>
      <c r="V290" s="79"/>
      <c r="W290" s="81"/>
    </row>
    <row r="291" spans="10:23" ht="13">
      <c r="J291" s="122"/>
      <c r="K291" s="122"/>
      <c r="L291" s="87"/>
      <c r="N291" s="1"/>
      <c r="T291" s="122"/>
      <c r="U291" s="122"/>
      <c r="V291" s="79"/>
      <c r="W291" s="81"/>
    </row>
    <row r="292" spans="10:23" ht="13">
      <c r="J292" s="122"/>
      <c r="K292" s="122"/>
      <c r="L292" s="87"/>
      <c r="N292" s="1"/>
      <c r="T292" s="122"/>
      <c r="U292" s="122"/>
      <c r="V292" s="79"/>
      <c r="W292" s="81"/>
    </row>
    <row r="293" spans="10:23" ht="13">
      <c r="J293" s="122"/>
      <c r="K293" s="122"/>
      <c r="L293" s="87"/>
      <c r="N293" s="1"/>
      <c r="T293" s="122"/>
      <c r="U293" s="122"/>
      <c r="V293" s="79"/>
      <c r="W293" s="81"/>
    </row>
    <row r="294" spans="10:23" ht="13">
      <c r="J294" s="122"/>
      <c r="K294" s="122"/>
      <c r="L294" s="87"/>
      <c r="N294" s="1"/>
      <c r="T294" s="122"/>
      <c r="U294" s="122"/>
      <c r="V294" s="79"/>
      <c r="W294" s="81"/>
    </row>
    <row r="295" spans="10:23" ht="13">
      <c r="J295" s="122"/>
      <c r="K295" s="122"/>
      <c r="L295" s="87"/>
      <c r="N295" s="1"/>
      <c r="T295" s="122"/>
      <c r="U295" s="122"/>
      <c r="V295" s="79"/>
      <c r="W295" s="81"/>
    </row>
    <row r="296" spans="10:23" ht="13">
      <c r="J296" s="122"/>
      <c r="K296" s="122"/>
      <c r="L296" s="87"/>
      <c r="N296" s="1"/>
      <c r="T296" s="122"/>
      <c r="U296" s="122"/>
      <c r="V296" s="79"/>
      <c r="W296" s="81"/>
    </row>
    <row r="297" spans="10:23" ht="13">
      <c r="J297" s="122"/>
      <c r="K297" s="122"/>
      <c r="L297" s="87"/>
      <c r="N297" s="1"/>
      <c r="T297" s="122"/>
      <c r="U297" s="122"/>
      <c r="V297" s="79"/>
      <c r="W297" s="81"/>
    </row>
    <row r="298" spans="10:23" ht="13">
      <c r="J298" s="122"/>
      <c r="K298" s="122"/>
      <c r="L298" s="87"/>
      <c r="N298" s="1"/>
      <c r="T298" s="122"/>
      <c r="U298" s="122"/>
      <c r="V298" s="79"/>
      <c r="W298" s="81"/>
    </row>
    <row r="299" spans="10:23" ht="13">
      <c r="J299" s="122"/>
      <c r="K299" s="122"/>
      <c r="L299" s="87"/>
      <c r="N299" s="1"/>
      <c r="T299" s="122"/>
      <c r="U299" s="122"/>
      <c r="V299" s="79"/>
      <c r="W299" s="81"/>
    </row>
    <row r="300" spans="10:23" ht="13">
      <c r="J300" s="122"/>
      <c r="K300" s="122"/>
      <c r="L300" s="87"/>
      <c r="N300" s="1"/>
      <c r="T300" s="122"/>
      <c r="U300" s="122"/>
      <c r="V300" s="79"/>
      <c r="W300" s="81"/>
    </row>
    <row r="301" spans="10:23" ht="13">
      <c r="J301" s="122"/>
      <c r="K301" s="122"/>
      <c r="L301" s="87"/>
      <c r="N301" s="1"/>
      <c r="T301" s="122"/>
      <c r="U301" s="122"/>
      <c r="V301" s="79"/>
      <c r="W301" s="81"/>
    </row>
    <row r="302" spans="10:23" ht="13">
      <c r="J302" s="122"/>
      <c r="K302" s="122"/>
      <c r="L302" s="87"/>
      <c r="N302" s="1"/>
      <c r="T302" s="122"/>
      <c r="U302" s="122"/>
      <c r="V302" s="79"/>
      <c r="W302" s="81"/>
    </row>
    <row r="303" spans="10:23" ht="13">
      <c r="J303" s="122"/>
      <c r="K303" s="122"/>
      <c r="L303" s="87"/>
      <c r="N303" s="1"/>
      <c r="T303" s="122"/>
      <c r="U303" s="122"/>
      <c r="V303" s="79"/>
      <c r="W303" s="81"/>
    </row>
    <row r="304" spans="10:23" ht="13">
      <c r="J304" s="122"/>
      <c r="K304" s="122"/>
      <c r="L304" s="87"/>
      <c r="N304" s="1"/>
      <c r="T304" s="122"/>
      <c r="U304" s="122"/>
      <c r="V304" s="79"/>
      <c r="W304" s="81"/>
    </row>
    <row r="305" spans="10:23" ht="13">
      <c r="J305" s="122"/>
      <c r="K305" s="122"/>
      <c r="L305" s="87"/>
      <c r="N305" s="1"/>
      <c r="T305" s="122"/>
      <c r="U305" s="122"/>
      <c r="V305" s="79"/>
      <c r="W305" s="81"/>
    </row>
    <row r="306" spans="10:23" ht="13">
      <c r="J306" s="122"/>
      <c r="K306" s="122"/>
      <c r="L306" s="87"/>
      <c r="N306" s="1"/>
      <c r="T306" s="122"/>
      <c r="U306" s="122"/>
      <c r="V306" s="79"/>
      <c r="W306" s="81"/>
    </row>
    <row r="307" spans="10:23" ht="13">
      <c r="J307" s="122"/>
      <c r="K307" s="122"/>
      <c r="L307" s="87"/>
      <c r="N307" s="1"/>
      <c r="T307" s="122"/>
      <c r="U307" s="122"/>
      <c r="V307" s="79"/>
      <c r="W307" s="81"/>
    </row>
    <row r="308" spans="10:23" ht="13">
      <c r="J308" s="122"/>
      <c r="K308" s="122"/>
      <c r="L308" s="87"/>
      <c r="N308" s="1"/>
      <c r="T308" s="122"/>
      <c r="U308" s="122"/>
      <c r="V308" s="79"/>
      <c r="W308" s="81"/>
    </row>
    <row r="309" spans="10:23" ht="13">
      <c r="J309" s="122"/>
      <c r="K309" s="122"/>
      <c r="L309" s="87"/>
      <c r="N309" s="1"/>
      <c r="T309" s="122"/>
      <c r="U309" s="122"/>
      <c r="V309" s="79"/>
      <c r="W309" s="81"/>
    </row>
    <row r="310" spans="10:23" ht="13">
      <c r="J310" s="122"/>
      <c r="K310" s="122"/>
      <c r="L310" s="87"/>
      <c r="N310" s="1"/>
      <c r="T310" s="122"/>
      <c r="U310" s="122"/>
      <c r="V310" s="79"/>
      <c r="W310" s="81"/>
    </row>
    <row r="311" spans="10:23" ht="13">
      <c r="J311" s="122"/>
      <c r="K311" s="122"/>
      <c r="L311" s="87"/>
      <c r="N311" s="1"/>
      <c r="T311" s="122"/>
      <c r="U311" s="122"/>
      <c r="V311" s="79"/>
      <c r="W311" s="81"/>
    </row>
    <row r="312" spans="10:23" ht="13">
      <c r="J312" s="122"/>
      <c r="K312" s="122"/>
      <c r="L312" s="87"/>
      <c r="N312" s="1"/>
      <c r="T312" s="122"/>
      <c r="U312" s="122"/>
      <c r="V312" s="79"/>
      <c r="W312" s="81"/>
    </row>
    <row r="313" spans="10:23" ht="13">
      <c r="J313" s="122"/>
      <c r="K313" s="122"/>
      <c r="L313" s="87"/>
      <c r="N313" s="1"/>
      <c r="T313" s="122"/>
      <c r="U313" s="122"/>
      <c r="V313" s="79"/>
      <c r="W313" s="81"/>
    </row>
    <row r="314" spans="10:23" ht="13">
      <c r="J314" s="122"/>
      <c r="K314" s="122"/>
      <c r="L314" s="87"/>
      <c r="N314" s="1"/>
      <c r="T314" s="122"/>
      <c r="U314" s="122"/>
      <c r="V314" s="79"/>
      <c r="W314" s="81"/>
    </row>
    <row r="315" spans="10:23" ht="13">
      <c r="J315" s="122"/>
      <c r="K315" s="122"/>
      <c r="L315" s="87"/>
      <c r="N315" s="1"/>
      <c r="T315" s="122"/>
      <c r="U315" s="122"/>
      <c r="V315" s="79"/>
      <c r="W315" s="81"/>
    </row>
    <row r="316" spans="10:23" ht="13">
      <c r="J316" s="122"/>
      <c r="K316" s="122"/>
      <c r="L316" s="87"/>
      <c r="N316" s="1"/>
      <c r="T316" s="122"/>
      <c r="U316" s="122"/>
      <c r="V316" s="79"/>
      <c r="W316" s="81"/>
    </row>
    <row r="317" spans="10:23" ht="13">
      <c r="J317" s="122"/>
      <c r="K317" s="122"/>
      <c r="L317" s="87"/>
      <c r="N317" s="1"/>
      <c r="T317" s="122"/>
      <c r="U317" s="122"/>
      <c r="V317" s="79"/>
      <c r="W317" s="81"/>
    </row>
    <row r="318" spans="10:23" ht="13">
      <c r="J318" s="122"/>
      <c r="K318" s="122"/>
      <c r="L318" s="87"/>
      <c r="N318" s="1"/>
      <c r="T318" s="122"/>
      <c r="U318" s="122"/>
      <c r="V318" s="79"/>
      <c r="W318" s="81"/>
    </row>
    <row r="319" spans="10:23" ht="13">
      <c r="J319" s="122"/>
      <c r="K319" s="122"/>
      <c r="L319" s="87"/>
      <c r="N319" s="1"/>
      <c r="T319" s="122"/>
      <c r="U319" s="122"/>
      <c r="V319" s="79"/>
      <c r="W319" s="81"/>
    </row>
    <row r="320" spans="10:23" ht="13">
      <c r="J320" s="122"/>
      <c r="K320" s="122"/>
      <c r="L320" s="87"/>
      <c r="N320" s="1"/>
      <c r="T320" s="122"/>
      <c r="U320" s="122"/>
      <c r="V320" s="79"/>
      <c r="W320" s="81"/>
    </row>
    <row r="321" spans="10:23" ht="13">
      <c r="J321" s="122"/>
      <c r="K321" s="122"/>
      <c r="L321" s="87"/>
      <c r="N321" s="1"/>
      <c r="T321" s="122"/>
      <c r="U321" s="122"/>
      <c r="V321" s="79"/>
      <c r="W321" s="81"/>
    </row>
    <row r="322" spans="10:23" ht="13">
      <c r="J322" s="122"/>
      <c r="K322" s="122"/>
      <c r="L322" s="87"/>
      <c r="N322" s="1"/>
      <c r="T322" s="122"/>
      <c r="U322" s="122"/>
      <c r="V322" s="79"/>
      <c r="W322" s="81"/>
    </row>
    <row r="323" spans="10:23" ht="13">
      <c r="J323" s="122"/>
      <c r="K323" s="122"/>
      <c r="L323" s="87"/>
      <c r="N323" s="1"/>
      <c r="T323" s="122"/>
      <c r="U323" s="122"/>
      <c r="V323" s="79"/>
      <c r="W323" s="81"/>
    </row>
    <row r="324" spans="10:23" ht="13">
      <c r="J324" s="122"/>
      <c r="K324" s="122"/>
      <c r="L324" s="87"/>
      <c r="N324" s="1"/>
      <c r="T324" s="122"/>
      <c r="U324" s="122"/>
      <c r="V324" s="79"/>
      <c r="W324" s="81"/>
    </row>
    <row r="325" spans="10:23" ht="13">
      <c r="J325" s="122"/>
      <c r="K325" s="122"/>
      <c r="L325" s="87"/>
      <c r="N325" s="1"/>
      <c r="T325" s="122"/>
      <c r="U325" s="122"/>
      <c r="V325" s="79"/>
      <c r="W325" s="81"/>
    </row>
    <row r="326" spans="10:23" ht="13">
      <c r="J326" s="122"/>
      <c r="K326" s="122"/>
      <c r="L326" s="87"/>
      <c r="N326" s="1"/>
      <c r="T326" s="122"/>
      <c r="U326" s="122"/>
      <c r="V326" s="79"/>
      <c r="W326" s="81"/>
    </row>
    <row r="327" spans="10:23" ht="13">
      <c r="J327" s="122"/>
      <c r="K327" s="122"/>
      <c r="L327" s="87"/>
      <c r="N327" s="1"/>
      <c r="T327" s="122"/>
      <c r="U327" s="122"/>
      <c r="V327" s="79"/>
      <c r="W327" s="81"/>
    </row>
    <row r="328" spans="10:23" ht="13">
      <c r="J328" s="122"/>
      <c r="K328" s="122"/>
      <c r="L328" s="87"/>
      <c r="N328" s="1"/>
      <c r="T328" s="122"/>
      <c r="U328" s="122"/>
      <c r="V328" s="79"/>
      <c r="W328" s="81"/>
    </row>
    <row r="329" spans="10:23" ht="13">
      <c r="J329" s="122"/>
      <c r="K329" s="122"/>
      <c r="L329" s="87"/>
      <c r="N329" s="1"/>
      <c r="T329" s="122"/>
      <c r="U329" s="122"/>
      <c r="V329" s="79"/>
      <c r="W329" s="81"/>
    </row>
    <row r="330" spans="10:23" ht="13">
      <c r="J330" s="122"/>
      <c r="K330" s="122"/>
      <c r="L330" s="87"/>
      <c r="N330" s="1"/>
      <c r="T330" s="122"/>
      <c r="U330" s="122"/>
      <c r="V330" s="79"/>
      <c r="W330" s="81"/>
    </row>
    <row r="331" spans="10:23" ht="13">
      <c r="J331" s="122"/>
      <c r="K331" s="122"/>
      <c r="L331" s="87"/>
      <c r="N331" s="1"/>
      <c r="T331" s="122"/>
      <c r="U331" s="122"/>
      <c r="V331" s="79"/>
      <c r="W331" s="81"/>
    </row>
    <row r="332" spans="10:23" ht="13">
      <c r="J332" s="122"/>
      <c r="K332" s="122"/>
      <c r="L332" s="87"/>
      <c r="N332" s="1"/>
      <c r="T332" s="122"/>
      <c r="U332" s="122"/>
      <c r="V332" s="79"/>
      <c r="W332" s="81"/>
    </row>
    <row r="333" spans="10:23" ht="13">
      <c r="J333" s="122"/>
      <c r="K333" s="122"/>
      <c r="L333" s="87"/>
      <c r="N333" s="1"/>
      <c r="T333" s="122"/>
      <c r="U333" s="122"/>
      <c r="V333" s="79"/>
      <c r="W333" s="81"/>
    </row>
    <row r="334" spans="10:23" ht="13">
      <c r="J334" s="122"/>
      <c r="K334" s="122"/>
      <c r="L334" s="87"/>
      <c r="N334" s="1"/>
      <c r="T334" s="122"/>
      <c r="U334" s="122"/>
      <c r="V334" s="79"/>
      <c r="W334" s="81"/>
    </row>
    <row r="335" spans="10:23" ht="13">
      <c r="J335" s="122"/>
      <c r="K335" s="122"/>
      <c r="L335" s="87"/>
      <c r="N335" s="1"/>
      <c r="T335" s="122"/>
      <c r="U335" s="122"/>
      <c r="V335" s="79"/>
      <c r="W335" s="81"/>
    </row>
    <row r="336" spans="10:23" ht="13">
      <c r="J336" s="122"/>
      <c r="K336" s="122"/>
      <c r="L336" s="87"/>
      <c r="N336" s="1"/>
      <c r="T336" s="122"/>
      <c r="U336" s="122"/>
      <c r="V336" s="79"/>
      <c r="W336" s="81"/>
    </row>
    <row r="337" spans="10:23" ht="13">
      <c r="J337" s="122"/>
      <c r="K337" s="122"/>
      <c r="L337" s="87"/>
      <c r="N337" s="1"/>
      <c r="T337" s="122"/>
      <c r="U337" s="122"/>
      <c r="V337" s="79"/>
      <c r="W337" s="81"/>
    </row>
    <row r="338" spans="10:23" ht="13">
      <c r="J338" s="122"/>
      <c r="K338" s="122"/>
      <c r="L338" s="87"/>
      <c r="N338" s="1"/>
      <c r="T338" s="122"/>
      <c r="U338" s="122"/>
      <c r="V338" s="79"/>
      <c r="W338" s="81"/>
    </row>
    <row r="339" spans="10:23" ht="13">
      <c r="J339" s="122"/>
      <c r="K339" s="122"/>
      <c r="L339" s="87"/>
      <c r="N339" s="1"/>
      <c r="T339" s="122"/>
      <c r="U339" s="122"/>
      <c r="V339" s="79"/>
      <c r="W339" s="81"/>
    </row>
    <row r="340" spans="10:23" ht="13">
      <c r="J340" s="122"/>
      <c r="K340" s="122"/>
      <c r="L340" s="87"/>
      <c r="N340" s="1"/>
      <c r="T340" s="122"/>
      <c r="U340" s="122"/>
      <c r="V340" s="79"/>
      <c r="W340" s="81"/>
    </row>
    <row r="341" spans="10:23" ht="13">
      <c r="J341" s="122"/>
      <c r="K341" s="122"/>
      <c r="L341" s="87"/>
      <c r="N341" s="1"/>
      <c r="T341" s="122"/>
      <c r="U341" s="122"/>
      <c r="V341" s="79"/>
      <c r="W341" s="81"/>
    </row>
    <row r="342" spans="10:23" ht="13">
      <c r="J342" s="122"/>
      <c r="K342" s="122"/>
      <c r="L342" s="87"/>
      <c r="N342" s="1"/>
      <c r="T342" s="122"/>
      <c r="U342" s="122"/>
      <c r="V342" s="79"/>
      <c r="W342" s="81"/>
    </row>
    <row r="343" spans="10:23" ht="13">
      <c r="J343" s="122"/>
      <c r="K343" s="122"/>
      <c r="L343" s="87"/>
      <c r="N343" s="1"/>
      <c r="T343" s="122"/>
      <c r="U343" s="122"/>
      <c r="V343" s="79"/>
      <c r="W343" s="81"/>
    </row>
    <row r="344" spans="10:23" ht="13">
      <c r="J344" s="122"/>
      <c r="K344" s="122"/>
      <c r="L344" s="87"/>
      <c r="N344" s="1"/>
      <c r="T344" s="122"/>
      <c r="U344" s="122"/>
      <c r="V344" s="79"/>
      <c r="W344" s="81"/>
    </row>
    <row r="345" spans="10:23" ht="13">
      <c r="J345" s="122"/>
      <c r="K345" s="122"/>
      <c r="L345" s="87"/>
      <c r="N345" s="1"/>
      <c r="T345" s="122"/>
      <c r="U345" s="122"/>
      <c r="V345" s="79"/>
      <c r="W345" s="81"/>
    </row>
    <row r="346" spans="10:23" ht="13">
      <c r="J346" s="122"/>
      <c r="K346" s="122"/>
      <c r="L346" s="87"/>
      <c r="N346" s="1"/>
      <c r="T346" s="122"/>
      <c r="U346" s="122"/>
      <c r="V346" s="79"/>
      <c r="W346" s="81"/>
    </row>
    <row r="347" spans="10:23" ht="13">
      <c r="J347" s="122"/>
      <c r="K347" s="122"/>
      <c r="L347" s="87"/>
      <c r="N347" s="1"/>
      <c r="T347" s="122"/>
      <c r="U347" s="122"/>
      <c r="V347" s="79"/>
      <c r="W347" s="81"/>
    </row>
    <row r="348" spans="10:23" ht="13">
      <c r="J348" s="122"/>
      <c r="K348" s="122"/>
      <c r="L348" s="87"/>
      <c r="N348" s="1"/>
      <c r="T348" s="122"/>
      <c r="U348" s="122"/>
      <c r="V348" s="79"/>
      <c r="W348" s="81"/>
    </row>
    <row r="349" spans="10:23" ht="13">
      <c r="J349" s="122"/>
      <c r="K349" s="122"/>
      <c r="L349" s="87"/>
      <c r="N349" s="1"/>
      <c r="T349" s="122"/>
      <c r="U349" s="122"/>
      <c r="V349" s="79"/>
      <c r="W349" s="81"/>
    </row>
    <row r="350" spans="10:23" ht="13">
      <c r="J350" s="122"/>
      <c r="K350" s="122"/>
      <c r="L350" s="87"/>
      <c r="N350" s="1"/>
      <c r="T350" s="122"/>
      <c r="U350" s="122"/>
      <c r="V350" s="79"/>
      <c r="W350" s="81"/>
    </row>
    <row r="351" spans="10:23" ht="13">
      <c r="J351" s="122"/>
      <c r="K351" s="122"/>
      <c r="L351" s="87"/>
      <c r="N351" s="1"/>
      <c r="T351" s="122"/>
      <c r="U351" s="122"/>
      <c r="V351" s="79"/>
      <c r="W351" s="81"/>
    </row>
    <row r="352" spans="10:23" ht="13">
      <c r="J352" s="122"/>
      <c r="K352" s="122"/>
      <c r="L352" s="87"/>
      <c r="N352" s="1"/>
      <c r="T352" s="122"/>
      <c r="U352" s="122"/>
      <c r="V352" s="79"/>
      <c r="W352" s="81"/>
    </row>
    <row r="353" spans="10:23" ht="13">
      <c r="J353" s="122"/>
      <c r="K353" s="122"/>
      <c r="L353" s="87"/>
      <c r="N353" s="1"/>
      <c r="T353" s="122"/>
      <c r="U353" s="122"/>
      <c r="V353" s="79"/>
      <c r="W353" s="81"/>
    </row>
    <row r="354" spans="10:23" ht="13">
      <c r="J354" s="122"/>
      <c r="K354" s="122"/>
      <c r="L354" s="87"/>
      <c r="N354" s="1"/>
      <c r="T354" s="122"/>
      <c r="U354" s="122"/>
      <c r="V354" s="79"/>
      <c r="W354" s="81"/>
    </row>
    <row r="355" spans="10:23" ht="13">
      <c r="J355" s="122"/>
      <c r="K355" s="122"/>
      <c r="L355" s="87"/>
      <c r="N355" s="1"/>
      <c r="T355" s="122"/>
      <c r="U355" s="122"/>
      <c r="V355" s="79"/>
      <c r="W355" s="81"/>
    </row>
    <row r="356" spans="10:23" ht="13">
      <c r="J356" s="122"/>
      <c r="K356" s="122"/>
      <c r="L356" s="87"/>
      <c r="N356" s="1"/>
      <c r="T356" s="122"/>
      <c r="U356" s="122"/>
      <c r="V356" s="79"/>
      <c r="W356" s="81"/>
    </row>
    <row r="357" spans="10:23" ht="13">
      <c r="J357" s="122"/>
      <c r="K357" s="122"/>
      <c r="L357" s="87"/>
      <c r="N357" s="1"/>
      <c r="T357" s="122"/>
      <c r="U357" s="122"/>
      <c r="V357" s="79"/>
      <c r="W357" s="81"/>
    </row>
    <row r="358" spans="10:23" ht="13">
      <c r="J358" s="122"/>
      <c r="K358" s="122"/>
      <c r="L358" s="87"/>
      <c r="N358" s="1"/>
      <c r="T358" s="122"/>
      <c r="U358" s="122"/>
      <c r="V358" s="79"/>
      <c r="W358" s="81"/>
    </row>
    <row r="359" spans="10:23" ht="13">
      <c r="J359" s="122"/>
      <c r="K359" s="122"/>
      <c r="L359" s="87"/>
      <c r="N359" s="1"/>
      <c r="T359" s="122"/>
      <c r="U359" s="122"/>
      <c r="V359" s="79"/>
      <c r="W359" s="81"/>
    </row>
    <row r="360" spans="10:23" ht="13">
      <c r="J360" s="122"/>
      <c r="K360" s="122"/>
      <c r="L360" s="87"/>
      <c r="N360" s="1"/>
      <c r="T360" s="122"/>
      <c r="U360" s="122"/>
      <c r="V360" s="79"/>
      <c r="W360" s="81"/>
    </row>
    <row r="361" spans="10:23" ht="13">
      <c r="J361" s="122"/>
      <c r="K361" s="122"/>
      <c r="L361" s="87"/>
      <c r="N361" s="1"/>
      <c r="T361" s="122"/>
      <c r="U361" s="122"/>
      <c r="V361" s="79"/>
      <c r="W361" s="81"/>
    </row>
    <row r="362" spans="10:23" ht="13">
      <c r="J362" s="122"/>
      <c r="K362" s="122"/>
      <c r="L362" s="87"/>
      <c r="N362" s="1"/>
      <c r="T362" s="122"/>
      <c r="U362" s="122"/>
      <c r="V362" s="79"/>
      <c r="W362" s="81"/>
    </row>
    <row r="363" spans="10:23" ht="13">
      <c r="J363" s="122"/>
      <c r="K363" s="122"/>
      <c r="L363" s="87"/>
      <c r="N363" s="1"/>
      <c r="T363" s="122"/>
      <c r="U363" s="122"/>
      <c r="V363" s="79"/>
      <c r="W363" s="81"/>
    </row>
    <row r="364" spans="10:23" ht="13">
      <c r="J364" s="122"/>
      <c r="K364" s="122"/>
      <c r="L364" s="87"/>
      <c r="N364" s="1"/>
      <c r="T364" s="122"/>
      <c r="U364" s="122"/>
      <c r="V364" s="79"/>
      <c r="W364" s="81"/>
    </row>
    <row r="365" spans="10:23" ht="13">
      <c r="J365" s="122"/>
      <c r="K365" s="122"/>
      <c r="L365" s="87"/>
      <c r="N365" s="1"/>
      <c r="T365" s="122"/>
      <c r="U365" s="122"/>
      <c r="V365" s="79"/>
      <c r="W365" s="81"/>
    </row>
    <row r="366" spans="10:23" ht="13">
      <c r="J366" s="122"/>
      <c r="K366" s="122"/>
      <c r="L366" s="87"/>
      <c r="N366" s="1"/>
      <c r="T366" s="122"/>
      <c r="U366" s="122"/>
      <c r="V366" s="79"/>
      <c r="W366" s="81"/>
    </row>
    <row r="367" spans="10:23" ht="13">
      <c r="J367" s="122"/>
      <c r="K367" s="122"/>
      <c r="L367" s="87"/>
      <c r="N367" s="1"/>
      <c r="T367" s="122"/>
      <c r="U367" s="122"/>
      <c r="V367" s="79"/>
      <c r="W367" s="81"/>
    </row>
    <row r="368" spans="10:23" ht="13">
      <c r="J368" s="122"/>
      <c r="K368" s="122"/>
      <c r="L368" s="87"/>
      <c r="N368" s="1"/>
      <c r="T368" s="122"/>
      <c r="U368" s="122"/>
      <c r="V368" s="79"/>
      <c r="W368" s="81"/>
    </row>
    <row r="369" spans="10:23" ht="13">
      <c r="J369" s="122"/>
      <c r="K369" s="122"/>
      <c r="L369" s="87"/>
      <c r="N369" s="1"/>
      <c r="T369" s="122"/>
      <c r="U369" s="122"/>
      <c r="V369" s="79"/>
      <c r="W369" s="81"/>
    </row>
    <row r="370" spans="10:23" ht="13">
      <c r="J370" s="122"/>
      <c r="K370" s="122"/>
      <c r="L370" s="87"/>
      <c r="N370" s="1"/>
      <c r="T370" s="122"/>
      <c r="U370" s="122"/>
      <c r="V370" s="79"/>
      <c r="W370" s="81"/>
    </row>
    <row r="371" spans="10:23" ht="13">
      <c r="J371" s="122"/>
      <c r="K371" s="122"/>
      <c r="L371" s="87"/>
      <c r="N371" s="1"/>
      <c r="T371" s="122"/>
      <c r="U371" s="122"/>
      <c r="V371" s="79"/>
      <c r="W371" s="81"/>
    </row>
    <row r="372" spans="10:23" ht="13">
      <c r="J372" s="122"/>
      <c r="K372" s="122"/>
      <c r="L372" s="87"/>
      <c r="N372" s="1"/>
      <c r="T372" s="122"/>
      <c r="U372" s="122"/>
      <c r="V372" s="79"/>
      <c r="W372" s="81"/>
    </row>
    <row r="373" spans="10:23" ht="13">
      <c r="J373" s="122"/>
      <c r="K373" s="122"/>
      <c r="L373" s="87"/>
      <c r="N373" s="1"/>
      <c r="T373" s="122"/>
      <c r="U373" s="122"/>
      <c r="V373" s="79"/>
      <c r="W373" s="81"/>
    </row>
    <row r="374" spans="10:23" ht="13">
      <c r="J374" s="122"/>
      <c r="K374" s="122"/>
      <c r="L374" s="87"/>
      <c r="N374" s="1"/>
      <c r="T374" s="122"/>
      <c r="U374" s="122"/>
      <c r="V374" s="79"/>
      <c r="W374" s="81"/>
    </row>
    <row r="375" spans="10:23" ht="13">
      <c r="J375" s="122"/>
      <c r="K375" s="122"/>
      <c r="L375" s="87"/>
      <c r="N375" s="1"/>
      <c r="T375" s="122"/>
      <c r="U375" s="122"/>
      <c r="V375" s="79"/>
      <c r="W375" s="81"/>
    </row>
    <row r="376" spans="10:23" ht="13">
      <c r="J376" s="122"/>
      <c r="K376" s="122"/>
      <c r="L376" s="87"/>
      <c r="N376" s="1"/>
      <c r="T376" s="122"/>
      <c r="U376" s="122"/>
      <c r="V376" s="79"/>
      <c r="W376" s="81"/>
    </row>
    <row r="377" spans="10:23" ht="13">
      <c r="J377" s="122"/>
      <c r="K377" s="122"/>
      <c r="L377" s="87"/>
      <c r="N377" s="1"/>
      <c r="T377" s="122"/>
      <c r="U377" s="122"/>
      <c r="V377" s="79"/>
      <c r="W377" s="81"/>
    </row>
    <row r="378" spans="10:23" ht="13">
      <c r="J378" s="122"/>
      <c r="K378" s="122"/>
      <c r="L378" s="87"/>
      <c r="N378" s="1"/>
      <c r="T378" s="122"/>
      <c r="U378" s="122"/>
      <c r="V378" s="79"/>
      <c r="W378" s="81"/>
    </row>
    <row r="379" spans="10:23" ht="13">
      <c r="J379" s="122"/>
      <c r="K379" s="122"/>
      <c r="L379" s="87"/>
      <c r="N379" s="1"/>
      <c r="T379" s="122"/>
      <c r="U379" s="122"/>
      <c r="V379" s="79"/>
      <c r="W379" s="81"/>
    </row>
    <row r="380" spans="10:23" ht="13">
      <c r="J380" s="122"/>
      <c r="K380" s="122"/>
      <c r="L380" s="87"/>
      <c r="N380" s="1"/>
      <c r="T380" s="122"/>
      <c r="U380" s="122"/>
      <c r="V380" s="79"/>
      <c r="W380" s="81"/>
    </row>
    <row r="381" spans="10:23" ht="13">
      <c r="J381" s="122"/>
      <c r="K381" s="122"/>
      <c r="L381" s="87"/>
      <c r="N381" s="1"/>
      <c r="T381" s="122"/>
      <c r="U381" s="122"/>
      <c r="V381" s="79"/>
      <c r="W381" s="81"/>
    </row>
    <row r="382" spans="10:23" ht="13">
      <c r="J382" s="122"/>
      <c r="K382" s="122"/>
      <c r="L382" s="87"/>
      <c r="N382" s="1"/>
      <c r="T382" s="122"/>
      <c r="U382" s="122"/>
      <c r="V382" s="79"/>
      <c r="W382" s="81"/>
    </row>
    <row r="383" spans="10:23" ht="13">
      <c r="J383" s="122"/>
      <c r="K383" s="122"/>
      <c r="L383" s="87"/>
      <c r="N383" s="1"/>
      <c r="T383" s="122"/>
      <c r="U383" s="122"/>
      <c r="V383" s="79"/>
      <c r="W383" s="81"/>
    </row>
    <row r="384" spans="10:23" ht="13">
      <c r="J384" s="122"/>
      <c r="K384" s="122"/>
      <c r="L384" s="87"/>
      <c r="N384" s="1"/>
      <c r="T384" s="122"/>
      <c r="U384" s="122"/>
      <c r="V384" s="79"/>
      <c r="W384" s="81"/>
    </row>
    <row r="385" spans="10:23" ht="13">
      <c r="J385" s="122"/>
      <c r="K385" s="122"/>
      <c r="L385" s="87"/>
      <c r="N385" s="1"/>
      <c r="T385" s="122"/>
      <c r="U385" s="122"/>
      <c r="V385" s="79"/>
      <c r="W385" s="81"/>
    </row>
    <row r="386" spans="10:23" ht="13">
      <c r="J386" s="122"/>
      <c r="K386" s="122"/>
      <c r="L386" s="87"/>
      <c r="N386" s="1"/>
      <c r="T386" s="122"/>
      <c r="U386" s="122"/>
      <c r="V386" s="79"/>
      <c r="W386" s="81"/>
    </row>
    <row r="387" spans="10:23" ht="13">
      <c r="J387" s="122"/>
      <c r="K387" s="122"/>
      <c r="L387" s="87"/>
      <c r="N387" s="1"/>
      <c r="T387" s="122"/>
      <c r="U387" s="122"/>
      <c r="V387" s="79"/>
      <c r="W387" s="81"/>
    </row>
    <row r="388" spans="10:23" ht="13">
      <c r="J388" s="122"/>
      <c r="K388" s="122"/>
      <c r="L388" s="87"/>
      <c r="N388" s="1"/>
      <c r="T388" s="122"/>
      <c r="U388" s="122"/>
      <c r="V388" s="79"/>
      <c r="W388" s="81"/>
    </row>
    <row r="389" spans="10:23" ht="13">
      <c r="J389" s="122"/>
      <c r="K389" s="122"/>
      <c r="L389" s="87"/>
      <c r="N389" s="1"/>
      <c r="T389" s="122"/>
      <c r="U389" s="122"/>
      <c r="V389" s="79"/>
      <c r="W389" s="81"/>
    </row>
    <row r="390" spans="10:23" ht="13">
      <c r="J390" s="122"/>
      <c r="K390" s="122"/>
      <c r="L390" s="87"/>
      <c r="N390" s="1"/>
      <c r="T390" s="122"/>
      <c r="U390" s="122"/>
      <c r="V390" s="79"/>
      <c r="W390" s="81"/>
    </row>
    <row r="391" spans="10:23" ht="13">
      <c r="J391" s="122"/>
      <c r="K391" s="122"/>
      <c r="L391" s="87"/>
      <c r="N391" s="1"/>
      <c r="T391" s="122"/>
      <c r="U391" s="122"/>
      <c r="V391" s="79"/>
      <c r="W391" s="81"/>
    </row>
    <row r="392" spans="10:23" ht="13">
      <c r="J392" s="122"/>
      <c r="K392" s="122"/>
      <c r="L392" s="87"/>
      <c r="N392" s="1"/>
      <c r="T392" s="122"/>
      <c r="U392" s="122"/>
      <c r="V392" s="79"/>
      <c r="W392" s="81"/>
    </row>
    <row r="393" spans="10:23" ht="13">
      <c r="J393" s="122"/>
      <c r="K393" s="122"/>
      <c r="L393" s="87"/>
      <c r="N393" s="1"/>
      <c r="T393" s="122"/>
      <c r="U393" s="122"/>
      <c r="V393" s="79"/>
      <c r="W393" s="81"/>
    </row>
    <row r="394" spans="10:23" ht="13">
      <c r="J394" s="122"/>
      <c r="K394" s="122"/>
      <c r="L394" s="87"/>
      <c r="N394" s="1"/>
      <c r="T394" s="122"/>
      <c r="U394" s="122"/>
      <c r="V394" s="79"/>
      <c r="W394" s="81"/>
    </row>
    <row r="395" spans="10:23" ht="13">
      <c r="J395" s="122"/>
      <c r="K395" s="122"/>
      <c r="L395" s="87"/>
      <c r="N395" s="1"/>
      <c r="T395" s="122"/>
      <c r="U395" s="122"/>
      <c r="V395" s="79"/>
      <c r="W395" s="81"/>
    </row>
    <row r="396" spans="10:23" ht="13">
      <c r="J396" s="122"/>
      <c r="K396" s="122"/>
      <c r="L396" s="87"/>
      <c r="N396" s="1"/>
      <c r="T396" s="122"/>
      <c r="U396" s="122"/>
      <c r="V396" s="79"/>
      <c r="W396" s="81"/>
    </row>
    <row r="397" spans="10:23" ht="13">
      <c r="J397" s="122"/>
      <c r="K397" s="122"/>
      <c r="L397" s="87"/>
      <c r="N397" s="1"/>
      <c r="T397" s="122"/>
      <c r="U397" s="122"/>
      <c r="V397" s="79"/>
      <c r="W397" s="81"/>
    </row>
    <row r="398" spans="10:23" ht="13">
      <c r="J398" s="122"/>
      <c r="K398" s="122"/>
      <c r="L398" s="87"/>
      <c r="N398" s="1"/>
      <c r="T398" s="122"/>
      <c r="U398" s="122"/>
      <c r="V398" s="79"/>
      <c r="W398" s="81"/>
    </row>
    <row r="399" spans="10:23" ht="13">
      <c r="J399" s="122"/>
      <c r="K399" s="122"/>
      <c r="L399" s="87"/>
      <c r="N399" s="1"/>
      <c r="T399" s="122"/>
      <c r="U399" s="122"/>
      <c r="V399" s="79"/>
      <c r="W399" s="81"/>
    </row>
    <row r="400" spans="10:23" ht="13">
      <c r="J400" s="122"/>
      <c r="K400" s="122"/>
      <c r="L400" s="87"/>
      <c r="N400" s="1"/>
      <c r="T400" s="122"/>
      <c r="U400" s="122"/>
      <c r="V400" s="79"/>
      <c r="W400" s="81"/>
    </row>
    <row r="401" spans="10:23" ht="13">
      <c r="J401" s="122"/>
      <c r="K401" s="122"/>
      <c r="L401" s="87"/>
      <c r="N401" s="1"/>
      <c r="T401" s="122"/>
      <c r="U401" s="122"/>
      <c r="V401" s="79"/>
      <c r="W401" s="81"/>
    </row>
    <row r="402" spans="10:23" ht="13">
      <c r="J402" s="122"/>
      <c r="K402" s="122"/>
      <c r="L402" s="87"/>
      <c r="N402" s="1"/>
      <c r="T402" s="122"/>
      <c r="U402" s="122"/>
      <c r="V402" s="79"/>
      <c r="W402" s="81"/>
    </row>
    <row r="403" spans="10:23" ht="13">
      <c r="J403" s="122"/>
      <c r="K403" s="122"/>
      <c r="L403" s="87"/>
      <c r="N403" s="1"/>
      <c r="T403" s="122"/>
      <c r="U403" s="122"/>
      <c r="V403" s="79"/>
      <c r="W403" s="81"/>
    </row>
    <row r="404" spans="10:23" ht="13">
      <c r="J404" s="122"/>
      <c r="K404" s="122"/>
      <c r="L404" s="87"/>
      <c r="N404" s="1"/>
      <c r="T404" s="122"/>
      <c r="U404" s="122"/>
      <c r="V404" s="79"/>
      <c r="W404" s="81"/>
    </row>
    <row r="405" spans="10:23" ht="13">
      <c r="J405" s="122"/>
      <c r="K405" s="122"/>
      <c r="L405" s="87"/>
      <c r="N405" s="1"/>
      <c r="T405" s="122"/>
      <c r="U405" s="122"/>
      <c r="V405" s="79"/>
      <c r="W405" s="81"/>
    </row>
    <row r="406" spans="10:23" ht="13">
      <c r="J406" s="122"/>
      <c r="K406" s="122"/>
      <c r="L406" s="87"/>
      <c r="N406" s="1"/>
      <c r="T406" s="122"/>
      <c r="U406" s="122"/>
      <c r="V406" s="79"/>
      <c r="W406" s="81"/>
    </row>
    <row r="407" spans="10:23" ht="13">
      <c r="J407" s="122"/>
      <c r="K407" s="122"/>
      <c r="L407" s="87"/>
      <c r="N407" s="1"/>
      <c r="T407" s="122"/>
      <c r="U407" s="122"/>
      <c r="V407" s="79"/>
      <c r="W407" s="81"/>
    </row>
    <row r="408" spans="10:23" ht="13">
      <c r="J408" s="122"/>
      <c r="K408" s="122"/>
      <c r="L408" s="87"/>
      <c r="N408" s="1"/>
      <c r="T408" s="122"/>
      <c r="U408" s="122"/>
      <c r="V408" s="79"/>
      <c r="W408" s="81"/>
    </row>
    <row r="409" spans="10:23" ht="13">
      <c r="J409" s="122"/>
      <c r="K409" s="122"/>
      <c r="L409" s="87"/>
      <c r="N409" s="1"/>
      <c r="T409" s="122"/>
      <c r="U409" s="122"/>
      <c r="V409" s="79"/>
      <c r="W409" s="81"/>
    </row>
    <row r="410" spans="10:23" ht="13">
      <c r="J410" s="122"/>
      <c r="K410" s="122"/>
      <c r="L410" s="87"/>
      <c r="N410" s="1"/>
      <c r="T410" s="122"/>
      <c r="U410" s="122"/>
      <c r="V410" s="79"/>
      <c r="W410" s="81"/>
    </row>
    <row r="411" spans="10:23" ht="13">
      <c r="J411" s="122"/>
      <c r="K411" s="122"/>
      <c r="L411" s="87"/>
      <c r="N411" s="1"/>
      <c r="T411" s="122"/>
      <c r="U411" s="122"/>
      <c r="V411" s="79"/>
      <c r="W411" s="81"/>
    </row>
    <row r="412" spans="10:23" ht="13">
      <c r="J412" s="122"/>
      <c r="K412" s="122"/>
      <c r="L412" s="87"/>
      <c r="N412" s="1"/>
      <c r="T412" s="122"/>
      <c r="U412" s="122"/>
      <c r="V412" s="79"/>
      <c r="W412" s="81"/>
    </row>
    <row r="413" spans="10:23" ht="13">
      <c r="J413" s="122"/>
      <c r="K413" s="122"/>
      <c r="L413" s="87"/>
      <c r="N413" s="1"/>
      <c r="T413" s="122"/>
      <c r="U413" s="122"/>
      <c r="V413" s="79"/>
      <c r="W413" s="81"/>
    </row>
    <row r="414" spans="10:23" ht="13">
      <c r="J414" s="122"/>
      <c r="K414" s="122"/>
      <c r="L414" s="87"/>
      <c r="N414" s="1"/>
      <c r="T414" s="122"/>
      <c r="U414" s="122"/>
      <c r="V414" s="79"/>
      <c r="W414" s="81"/>
    </row>
    <row r="415" spans="10:23" ht="13">
      <c r="J415" s="122"/>
      <c r="K415" s="122"/>
      <c r="L415" s="87"/>
      <c r="N415" s="1"/>
      <c r="T415" s="122"/>
      <c r="U415" s="122"/>
      <c r="V415" s="79"/>
      <c r="W415" s="81"/>
    </row>
    <row r="416" spans="10:23" ht="13">
      <c r="J416" s="122"/>
      <c r="K416" s="122"/>
      <c r="L416" s="87"/>
      <c r="N416" s="1"/>
      <c r="T416" s="122"/>
      <c r="U416" s="122"/>
      <c r="V416" s="79"/>
      <c r="W416" s="81"/>
    </row>
    <row r="417" spans="10:23" ht="13">
      <c r="J417" s="122"/>
      <c r="K417" s="122"/>
      <c r="L417" s="87"/>
      <c r="N417" s="1"/>
      <c r="T417" s="122"/>
      <c r="U417" s="122"/>
      <c r="V417" s="79"/>
      <c r="W417" s="81"/>
    </row>
    <row r="418" spans="10:23" ht="13">
      <c r="J418" s="122"/>
      <c r="K418" s="122"/>
      <c r="L418" s="87"/>
      <c r="N418" s="1"/>
      <c r="T418" s="122"/>
      <c r="U418" s="122"/>
      <c r="V418" s="79"/>
      <c r="W418" s="81"/>
    </row>
    <row r="419" spans="10:23" ht="13">
      <c r="J419" s="122"/>
      <c r="K419" s="122"/>
      <c r="L419" s="87"/>
      <c r="N419" s="1"/>
      <c r="T419" s="122"/>
      <c r="U419" s="122"/>
      <c r="V419" s="79"/>
      <c r="W419" s="81"/>
    </row>
    <row r="420" spans="10:23" ht="13">
      <c r="J420" s="122"/>
      <c r="K420" s="122"/>
      <c r="L420" s="87"/>
      <c r="N420" s="1"/>
      <c r="T420" s="122"/>
      <c r="U420" s="122"/>
      <c r="V420" s="79"/>
      <c r="W420" s="81"/>
    </row>
    <row r="421" spans="10:23" ht="13">
      <c r="J421" s="122"/>
      <c r="K421" s="122"/>
      <c r="L421" s="87"/>
      <c r="N421" s="1"/>
      <c r="T421" s="122"/>
      <c r="U421" s="122"/>
      <c r="V421" s="79"/>
      <c r="W421" s="81"/>
    </row>
    <row r="422" spans="10:23" ht="13">
      <c r="J422" s="122"/>
      <c r="K422" s="122"/>
      <c r="L422" s="87"/>
      <c r="N422" s="1"/>
      <c r="T422" s="122"/>
      <c r="U422" s="122"/>
      <c r="V422" s="79"/>
      <c r="W422" s="81"/>
    </row>
    <row r="423" spans="10:23" ht="13">
      <c r="J423" s="122"/>
      <c r="K423" s="122"/>
      <c r="L423" s="87"/>
      <c r="N423" s="1"/>
      <c r="T423" s="122"/>
      <c r="U423" s="122"/>
      <c r="V423" s="79"/>
      <c r="W423" s="81"/>
    </row>
    <row r="424" spans="10:23" ht="13">
      <c r="J424" s="122"/>
      <c r="K424" s="122"/>
      <c r="L424" s="87"/>
      <c r="N424" s="1"/>
      <c r="T424" s="122"/>
      <c r="U424" s="122"/>
      <c r="V424" s="79"/>
      <c r="W424" s="81"/>
    </row>
    <row r="425" spans="10:23" ht="13">
      <c r="J425" s="122"/>
      <c r="K425" s="122"/>
      <c r="L425" s="87"/>
      <c r="N425" s="1"/>
      <c r="T425" s="122"/>
      <c r="U425" s="122"/>
      <c r="V425" s="79"/>
      <c r="W425" s="81"/>
    </row>
    <row r="426" spans="10:23" ht="13">
      <c r="J426" s="122"/>
      <c r="K426" s="122"/>
      <c r="L426" s="87"/>
      <c r="N426" s="1"/>
      <c r="T426" s="122"/>
      <c r="U426" s="122"/>
      <c r="V426" s="79"/>
      <c r="W426" s="81"/>
    </row>
    <row r="427" spans="10:23" ht="13">
      <c r="J427" s="122"/>
      <c r="K427" s="122"/>
      <c r="L427" s="87"/>
      <c r="N427" s="1"/>
      <c r="T427" s="122"/>
      <c r="U427" s="122"/>
      <c r="V427" s="79"/>
      <c r="W427" s="81"/>
    </row>
    <row r="428" spans="10:23" ht="13">
      <c r="J428" s="122"/>
      <c r="K428" s="122"/>
      <c r="L428" s="87"/>
      <c r="N428" s="1"/>
      <c r="T428" s="122"/>
      <c r="U428" s="122"/>
      <c r="V428" s="79"/>
      <c r="W428" s="81"/>
    </row>
    <row r="429" spans="10:23" ht="13">
      <c r="J429" s="122"/>
      <c r="K429" s="122"/>
      <c r="L429" s="87"/>
      <c r="N429" s="1"/>
      <c r="T429" s="122"/>
      <c r="U429" s="122"/>
      <c r="V429" s="79"/>
      <c r="W429" s="81"/>
    </row>
    <row r="430" spans="10:23" ht="13">
      <c r="J430" s="122"/>
      <c r="K430" s="122"/>
      <c r="L430" s="87"/>
      <c r="N430" s="1"/>
      <c r="T430" s="122"/>
      <c r="U430" s="122"/>
      <c r="V430" s="79"/>
      <c r="W430" s="81"/>
    </row>
    <row r="431" spans="10:23" ht="13">
      <c r="J431" s="122"/>
      <c r="K431" s="122"/>
      <c r="L431" s="87"/>
      <c r="N431" s="1"/>
      <c r="T431" s="122"/>
      <c r="U431" s="122"/>
      <c r="V431" s="79"/>
      <c r="W431" s="81"/>
    </row>
    <row r="432" spans="10:23" ht="13">
      <c r="J432" s="122"/>
      <c r="K432" s="122"/>
      <c r="L432" s="87"/>
      <c r="N432" s="1"/>
      <c r="T432" s="122"/>
      <c r="U432" s="122"/>
      <c r="V432" s="79"/>
      <c r="W432" s="81"/>
    </row>
    <row r="433" spans="10:23" ht="13">
      <c r="J433" s="122"/>
      <c r="K433" s="122"/>
      <c r="L433" s="87"/>
      <c r="N433" s="1"/>
      <c r="T433" s="122"/>
      <c r="U433" s="122"/>
      <c r="V433" s="79"/>
      <c r="W433" s="81"/>
    </row>
    <row r="434" spans="10:23" ht="13">
      <c r="J434" s="122"/>
      <c r="K434" s="122"/>
      <c r="L434" s="87"/>
      <c r="N434" s="1"/>
      <c r="T434" s="122"/>
      <c r="U434" s="122"/>
      <c r="V434" s="79"/>
      <c r="W434" s="81"/>
    </row>
    <row r="435" spans="10:23" ht="13">
      <c r="J435" s="122"/>
      <c r="K435" s="122"/>
      <c r="L435" s="87"/>
      <c r="N435" s="1"/>
      <c r="T435" s="122"/>
      <c r="U435" s="122"/>
      <c r="V435" s="79"/>
      <c r="W435" s="81"/>
    </row>
    <row r="436" spans="10:23" ht="13">
      <c r="J436" s="122"/>
      <c r="K436" s="122"/>
      <c r="L436" s="87"/>
      <c r="N436" s="1"/>
      <c r="T436" s="122"/>
      <c r="U436" s="122"/>
      <c r="V436" s="79"/>
      <c r="W436" s="81"/>
    </row>
    <row r="437" spans="10:23" ht="13">
      <c r="J437" s="122"/>
      <c r="K437" s="122"/>
      <c r="L437" s="87"/>
      <c r="N437" s="1"/>
      <c r="T437" s="122"/>
      <c r="U437" s="122"/>
      <c r="V437" s="79"/>
      <c r="W437" s="81"/>
    </row>
    <row r="438" spans="10:23" ht="13">
      <c r="J438" s="122"/>
      <c r="K438" s="122"/>
      <c r="L438" s="87"/>
      <c r="N438" s="1"/>
      <c r="T438" s="122"/>
      <c r="U438" s="122"/>
      <c r="V438" s="79"/>
      <c r="W438" s="81"/>
    </row>
    <row r="439" spans="10:23" ht="13">
      <c r="J439" s="122"/>
      <c r="K439" s="122"/>
      <c r="L439" s="87"/>
      <c r="N439" s="1"/>
      <c r="T439" s="122"/>
      <c r="U439" s="122"/>
      <c r="V439" s="79"/>
      <c r="W439" s="81"/>
    </row>
    <row r="440" spans="10:23" ht="13">
      <c r="J440" s="122"/>
      <c r="K440" s="122"/>
      <c r="L440" s="87"/>
      <c r="N440" s="1"/>
      <c r="T440" s="122"/>
      <c r="U440" s="122"/>
      <c r="V440" s="79"/>
      <c r="W440" s="81"/>
    </row>
    <row r="441" spans="10:23" ht="13">
      <c r="J441" s="122"/>
      <c r="K441" s="122"/>
      <c r="L441" s="87"/>
      <c r="N441" s="1"/>
      <c r="T441" s="122"/>
      <c r="U441" s="122"/>
      <c r="V441" s="79"/>
      <c r="W441" s="81"/>
    </row>
    <row r="442" spans="10:23" ht="13">
      <c r="J442" s="122"/>
      <c r="K442" s="122"/>
      <c r="L442" s="87"/>
      <c r="N442" s="1"/>
      <c r="T442" s="122"/>
      <c r="U442" s="122"/>
      <c r="V442" s="79"/>
      <c r="W442" s="81"/>
    </row>
    <row r="443" spans="10:23" ht="13">
      <c r="J443" s="122"/>
      <c r="K443" s="122"/>
      <c r="L443" s="87"/>
      <c r="N443" s="1"/>
      <c r="T443" s="122"/>
      <c r="U443" s="122"/>
      <c r="V443" s="79"/>
      <c r="W443" s="81"/>
    </row>
    <row r="444" spans="10:23" ht="13">
      <c r="J444" s="122"/>
      <c r="K444" s="122"/>
      <c r="L444" s="87"/>
      <c r="N444" s="1"/>
      <c r="T444" s="122"/>
      <c r="U444" s="122"/>
      <c r="V444" s="79"/>
      <c r="W444" s="81"/>
    </row>
    <row r="445" spans="10:23" ht="13">
      <c r="J445" s="122"/>
      <c r="K445" s="122"/>
      <c r="L445" s="87"/>
      <c r="N445" s="1"/>
      <c r="T445" s="122"/>
      <c r="U445" s="122"/>
      <c r="V445" s="79"/>
      <c r="W445" s="81"/>
    </row>
    <row r="446" spans="10:23" ht="13">
      <c r="J446" s="122"/>
      <c r="K446" s="122"/>
      <c r="L446" s="87"/>
      <c r="N446" s="1"/>
      <c r="T446" s="122"/>
      <c r="U446" s="122"/>
      <c r="V446" s="79"/>
      <c r="W446" s="81"/>
    </row>
    <row r="447" spans="10:23" ht="13">
      <c r="J447" s="122"/>
      <c r="K447" s="122"/>
      <c r="L447" s="87"/>
      <c r="N447" s="1"/>
      <c r="T447" s="122"/>
      <c r="U447" s="122"/>
      <c r="V447" s="79"/>
      <c r="W447" s="81"/>
    </row>
    <row r="448" spans="10:23" ht="13">
      <c r="J448" s="122"/>
      <c r="K448" s="122"/>
      <c r="L448" s="87"/>
      <c r="N448" s="1"/>
      <c r="T448" s="122"/>
      <c r="U448" s="122"/>
      <c r="V448" s="79"/>
      <c r="W448" s="81"/>
    </row>
    <row r="449" spans="10:23" ht="13">
      <c r="J449" s="122"/>
      <c r="K449" s="122"/>
      <c r="L449" s="87"/>
      <c r="N449" s="1"/>
      <c r="T449" s="122"/>
      <c r="U449" s="122"/>
      <c r="V449" s="79"/>
      <c r="W449" s="81"/>
    </row>
    <row r="450" spans="10:23" ht="13">
      <c r="J450" s="122"/>
      <c r="K450" s="122"/>
      <c r="L450" s="87"/>
      <c r="N450" s="1"/>
      <c r="T450" s="122"/>
      <c r="U450" s="122"/>
      <c r="V450" s="79"/>
      <c r="W450" s="81"/>
    </row>
    <row r="451" spans="10:23" ht="13">
      <c r="J451" s="122"/>
      <c r="K451" s="122"/>
      <c r="L451" s="87"/>
      <c r="N451" s="1"/>
      <c r="T451" s="122"/>
      <c r="U451" s="122"/>
      <c r="V451" s="79"/>
      <c r="W451" s="81"/>
    </row>
    <row r="452" spans="10:23" ht="13">
      <c r="J452" s="122"/>
      <c r="K452" s="122"/>
      <c r="L452" s="87"/>
      <c r="N452" s="1"/>
      <c r="T452" s="122"/>
      <c r="U452" s="122"/>
      <c r="V452" s="79"/>
      <c r="W452" s="81"/>
    </row>
    <row r="453" spans="10:23" ht="13">
      <c r="J453" s="122"/>
      <c r="K453" s="122"/>
      <c r="L453" s="87"/>
      <c r="N453" s="1"/>
      <c r="T453" s="122"/>
      <c r="U453" s="122"/>
      <c r="V453" s="79"/>
      <c r="W453" s="81"/>
    </row>
    <row r="454" spans="10:23" ht="13">
      <c r="J454" s="122"/>
      <c r="K454" s="122"/>
      <c r="L454" s="87"/>
      <c r="N454" s="1"/>
      <c r="T454" s="122"/>
      <c r="U454" s="122"/>
      <c r="V454" s="79"/>
      <c r="W454" s="81"/>
    </row>
    <row r="455" spans="10:23" ht="13">
      <c r="J455" s="122"/>
      <c r="K455" s="122"/>
      <c r="L455" s="87"/>
      <c r="N455" s="1"/>
      <c r="T455" s="122"/>
      <c r="U455" s="122"/>
      <c r="V455" s="79"/>
      <c r="W455" s="81"/>
    </row>
    <row r="456" spans="10:23" ht="13">
      <c r="J456" s="122"/>
      <c r="K456" s="122"/>
      <c r="L456" s="87"/>
      <c r="N456" s="1"/>
      <c r="T456" s="122"/>
      <c r="U456" s="122"/>
      <c r="V456" s="79"/>
      <c r="W456" s="81"/>
    </row>
    <row r="457" spans="10:23" ht="13">
      <c r="J457" s="122"/>
      <c r="K457" s="122"/>
      <c r="L457" s="87"/>
      <c r="N457" s="1"/>
      <c r="T457" s="122"/>
      <c r="U457" s="122"/>
      <c r="V457" s="79"/>
      <c r="W457" s="81"/>
    </row>
    <row r="458" spans="10:23" ht="13">
      <c r="J458" s="122"/>
      <c r="K458" s="122"/>
      <c r="L458" s="87"/>
      <c r="N458" s="1"/>
      <c r="T458" s="122"/>
      <c r="U458" s="122"/>
      <c r="V458" s="79"/>
      <c r="W458" s="81"/>
    </row>
    <row r="459" spans="10:23" ht="13">
      <c r="J459" s="122"/>
      <c r="K459" s="122"/>
      <c r="L459" s="87"/>
      <c r="N459" s="1"/>
      <c r="T459" s="122"/>
      <c r="U459" s="122"/>
      <c r="V459" s="79"/>
      <c r="W459" s="81"/>
    </row>
    <row r="460" spans="10:23" ht="13">
      <c r="J460" s="122"/>
      <c r="K460" s="122"/>
      <c r="L460" s="87"/>
      <c r="N460" s="1"/>
      <c r="T460" s="122"/>
      <c r="U460" s="122"/>
      <c r="V460" s="79"/>
      <c r="W460" s="81"/>
    </row>
    <row r="461" spans="10:23" ht="13">
      <c r="J461" s="122"/>
      <c r="K461" s="122"/>
      <c r="L461" s="87"/>
      <c r="N461" s="1"/>
      <c r="T461" s="122"/>
      <c r="U461" s="122"/>
      <c r="V461" s="79"/>
      <c r="W461" s="81"/>
    </row>
    <row r="462" spans="10:23" ht="13">
      <c r="J462" s="122"/>
      <c r="K462" s="122"/>
      <c r="L462" s="87"/>
      <c r="N462" s="1"/>
      <c r="T462" s="122"/>
      <c r="U462" s="122"/>
      <c r="V462" s="79"/>
      <c r="W462" s="81"/>
    </row>
    <row r="463" spans="10:23" ht="13">
      <c r="J463" s="122"/>
      <c r="K463" s="122"/>
      <c r="L463" s="87"/>
      <c r="N463" s="1"/>
      <c r="T463" s="122"/>
      <c r="U463" s="122"/>
      <c r="V463" s="79"/>
      <c r="W463" s="81"/>
    </row>
    <row r="464" spans="10:23" ht="13">
      <c r="J464" s="122"/>
      <c r="K464" s="122"/>
      <c r="L464" s="87"/>
      <c r="N464" s="1"/>
      <c r="T464" s="122"/>
      <c r="U464" s="122"/>
      <c r="V464" s="79"/>
      <c r="W464" s="81"/>
    </row>
    <row r="465" spans="10:23" ht="13">
      <c r="J465" s="122"/>
      <c r="K465" s="122"/>
      <c r="L465" s="87"/>
      <c r="N465" s="1"/>
      <c r="T465" s="122"/>
      <c r="U465" s="122"/>
      <c r="V465" s="79"/>
      <c r="W465" s="81"/>
    </row>
    <row r="466" spans="10:23" ht="13">
      <c r="J466" s="122"/>
      <c r="K466" s="122"/>
      <c r="L466" s="87"/>
      <c r="N466" s="1"/>
      <c r="T466" s="122"/>
      <c r="U466" s="122"/>
      <c r="V466" s="79"/>
      <c r="W466" s="81"/>
    </row>
    <row r="467" spans="10:23" ht="13">
      <c r="J467" s="122"/>
      <c r="K467" s="122"/>
      <c r="L467" s="87"/>
      <c r="N467" s="1"/>
      <c r="T467" s="122"/>
      <c r="U467" s="122"/>
      <c r="V467" s="79"/>
      <c r="W467" s="81"/>
    </row>
    <row r="468" spans="10:23" ht="13">
      <c r="J468" s="122"/>
      <c r="K468" s="122"/>
      <c r="L468" s="87"/>
      <c r="N468" s="1"/>
      <c r="T468" s="122"/>
      <c r="U468" s="122"/>
      <c r="V468" s="79"/>
      <c r="W468" s="81"/>
    </row>
    <row r="469" spans="10:23" ht="13">
      <c r="J469" s="122"/>
      <c r="K469" s="122"/>
      <c r="L469" s="87"/>
      <c r="N469" s="1"/>
      <c r="T469" s="122"/>
      <c r="U469" s="122"/>
      <c r="V469" s="79"/>
      <c r="W469" s="81"/>
    </row>
    <row r="470" spans="10:23" ht="13">
      <c r="J470" s="122"/>
      <c r="K470" s="122"/>
      <c r="L470" s="87"/>
      <c r="N470" s="1"/>
      <c r="T470" s="122"/>
      <c r="U470" s="122"/>
      <c r="V470" s="79"/>
      <c r="W470" s="81"/>
    </row>
    <row r="471" spans="10:23" ht="13">
      <c r="J471" s="122"/>
      <c r="K471" s="122"/>
      <c r="L471" s="87"/>
      <c r="N471" s="1"/>
      <c r="T471" s="122"/>
      <c r="U471" s="122"/>
      <c r="V471" s="79"/>
      <c r="W471" s="81"/>
    </row>
    <row r="472" spans="10:23" ht="13">
      <c r="J472" s="122"/>
      <c r="K472" s="122"/>
      <c r="L472" s="87"/>
      <c r="N472" s="1"/>
      <c r="T472" s="122"/>
      <c r="U472" s="122"/>
      <c r="V472" s="79"/>
      <c r="W472" s="81"/>
    </row>
    <row r="473" spans="10:23" ht="13">
      <c r="J473" s="122"/>
      <c r="K473" s="122"/>
      <c r="L473" s="87"/>
      <c r="N473" s="1"/>
      <c r="T473" s="122"/>
      <c r="U473" s="122"/>
      <c r="V473" s="79"/>
      <c r="W473" s="81"/>
    </row>
    <row r="474" spans="10:23" ht="13">
      <c r="J474" s="122"/>
      <c r="K474" s="122"/>
      <c r="L474" s="87"/>
      <c r="N474" s="1"/>
      <c r="T474" s="122"/>
      <c r="U474" s="122"/>
      <c r="V474" s="79"/>
      <c r="W474" s="81"/>
    </row>
    <row r="475" spans="10:23" ht="13">
      <c r="J475" s="122"/>
      <c r="K475" s="122"/>
      <c r="L475" s="87"/>
      <c r="N475" s="1"/>
      <c r="T475" s="122"/>
      <c r="U475" s="122"/>
      <c r="V475" s="79"/>
      <c r="W475" s="81"/>
    </row>
    <row r="476" spans="10:23" ht="13">
      <c r="J476" s="122"/>
      <c r="K476" s="122"/>
      <c r="L476" s="87"/>
      <c r="N476" s="1"/>
      <c r="T476" s="122"/>
      <c r="U476" s="122"/>
      <c r="V476" s="79"/>
      <c r="W476" s="81"/>
    </row>
    <row r="477" spans="10:23" ht="13">
      <c r="J477" s="122"/>
      <c r="K477" s="122"/>
      <c r="L477" s="87"/>
      <c r="N477" s="1"/>
      <c r="T477" s="122"/>
      <c r="U477" s="122"/>
      <c r="V477" s="79"/>
      <c r="W477" s="81"/>
    </row>
    <row r="478" spans="10:23" ht="13">
      <c r="J478" s="122"/>
      <c r="K478" s="122"/>
      <c r="L478" s="87"/>
      <c r="N478" s="1"/>
      <c r="T478" s="122"/>
      <c r="U478" s="122"/>
      <c r="V478" s="79"/>
      <c r="W478" s="81"/>
    </row>
    <row r="479" spans="10:23" ht="13">
      <c r="J479" s="122"/>
      <c r="K479" s="122"/>
      <c r="L479" s="87"/>
      <c r="N479" s="1"/>
      <c r="T479" s="122"/>
      <c r="U479" s="122"/>
      <c r="V479" s="79"/>
      <c r="W479" s="81"/>
    </row>
    <row r="480" spans="10:23" ht="13">
      <c r="J480" s="122"/>
      <c r="K480" s="122"/>
      <c r="L480" s="87"/>
      <c r="N480" s="1"/>
      <c r="T480" s="122"/>
      <c r="U480" s="122"/>
      <c r="V480" s="79"/>
      <c r="W480" s="81"/>
    </row>
    <row r="481" spans="10:23" ht="13">
      <c r="J481" s="122"/>
      <c r="K481" s="122"/>
      <c r="L481" s="87"/>
      <c r="N481" s="1"/>
      <c r="T481" s="122"/>
      <c r="U481" s="122"/>
      <c r="V481" s="79"/>
      <c r="W481" s="81"/>
    </row>
    <row r="482" spans="10:23" ht="13">
      <c r="J482" s="122"/>
      <c r="K482" s="122"/>
      <c r="L482" s="87"/>
      <c r="N482" s="1"/>
      <c r="T482" s="122"/>
      <c r="U482" s="122"/>
      <c r="V482" s="79"/>
      <c r="W482" s="81"/>
    </row>
    <row r="483" spans="10:23" ht="13">
      <c r="J483" s="122"/>
      <c r="K483" s="122"/>
      <c r="L483" s="87"/>
      <c r="N483" s="1"/>
      <c r="T483" s="122"/>
      <c r="U483" s="122"/>
      <c r="V483" s="79"/>
      <c r="W483" s="81"/>
    </row>
    <row r="484" spans="10:23" ht="13">
      <c r="J484" s="122"/>
      <c r="K484" s="122"/>
      <c r="L484" s="87"/>
      <c r="N484" s="1"/>
      <c r="T484" s="122"/>
      <c r="U484" s="122"/>
      <c r="V484" s="79"/>
      <c r="W484" s="81"/>
    </row>
    <row r="485" spans="10:23" ht="13">
      <c r="J485" s="122"/>
      <c r="K485" s="122"/>
      <c r="L485" s="87"/>
      <c r="N485" s="1"/>
      <c r="T485" s="122"/>
      <c r="U485" s="122"/>
      <c r="V485" s="79"/>
      <c r="W485" s="81"/>
    </row>
    <row r="486" spans="10:23" ht="13">
      <c r="J486" s="122"/>
      <c r="K486" s="122"/>
      <c r="L486" s="87"/>
      <c r="N486" s="1"/>
      <c r="T486" s="122"/>
      <c r="U486" s="122"/>
      <c r="V486" s="79"/>
      <c r="W486" s="81"/>
    </row>
    <row r="487" spans="10:23" ht="13">
      <c r="J487" s="122"/>
      <c r="K487" s="122"/>
      <c r="L487" s="87"/>
      <c r="N487" s="1"/>
      <c r="T487" s="122"/>
      <c r="U487" s="122"/>
      <c r="V487" s="79"/>
      <c r="W487" s="81"/>
    </row>
    <row r="488" spans="10:23" ht="13">
      <c r="J488" s="122"/>
      <c r="K488" s="122"/>
      <c r="L488" s="87"/>
      <c r="N488" s="1"/>
      <c r="T488" s="122"/>
      <c r="U488" s="122"/>
      <c r="V488" s="79"/>
      <c r="W488" s="81"/>
    </row>
    <row r="489" spans="10:23" ht="13">
      <c r="J489" s="122"/>
      <c r="K489" s="122"/>
      <c r="L489" s="87"/>
      <c r="N489" s="1"/>
      <c r="T489" s="122"/>
      <c r="U489" s="122"/>
      <c r="V489" s="79"/>
      <c r="W489" s="81"/>
    </row>
    <row r="490" spans="10:23" ht="13">
      <c r="J490" s="122"/>
      <c r="K490" s="122"/>
      <c r="L490" s="87"/>
      <c r="N490" s="1"/>
      <c r="T490" s="122"/>
      <c r="U490" s="122"/>
      <c r="V490" s="79"/>
      <c r="W490" s="81"/>
    </row>
    <row r="491" spans="10:23" ht="13">
      <c r="J491" s="122"/>
      <c r="K491" s="122"/>
      <c r="L491" s="87"/>
      <c r="N491" s="1"/>
      <c r="T491" s="122"/>
      <c r="U491" s="122"/>
      <c r="V491" s="79"/>
      <c r="W491" s="81"/>
    </row>
    <row r="492" spans="10:23" ht="13">
      <c r="J492" s="122"/>
      <c r="K492" s="122"/>
      <c r="L492" s="87"/>
      <c r="N492" s="1"/>
      <c r="T492" s="122"/>
      <c r="U492" s="122"/>
      <c r="V492" s="79"/>
      <c r="W492" s="81"/>
    </row>
    <row r="493" spans="10:23" ht="13">
      <c r="J493" s="122"/>
      <c r="K493" s="122"/>
      <c r="L493" s="87"/>
      <c r="N493" s="1"/>
      <c r="T493" s="122"/>
      <c r="U493" s="122"/>
      <c r="V493" s="79"/>
      <c r="W493" s="81"/>
    </row>
    <row r="494" spans="10:23" ht="13">
      <c r="J494" s="122"/>
      <c r="K494" s="122"/>
      <c r="L494" s="87"/>
      <c r="N494" s="1"/>
      <c r="T494" s="122"/>
      <c r="U494" s="122"/>
      <c r="V494" s="79"/>
      <c r="W494" s="81"/>
    </row>
    <row r="495" spans="10:23" ht="13">
      <c r="J495" s="122"/>
      <c r="K495" s="122"/>
      <c r="L495" s="87"/>
      <c r="N495" s="1"/>
      <c r="T495" s="122"/>
      <c r="U495" s="122"/>
      <c r="V495" s="79"/>
      <c r="W495" s="81"/>
    </row>
    <row r="496" spans="10:23" ht="13">
      <c r="J496" s="122"/>
      <c r="K496" s="122"/>
      <c r="L496" s="87"/>
      <c r="N496" s="1"/>
      <c r="T496" s="122"/>
      <c r="U496" s="122"/>
      <c r="V496" s="79"/>
      <c r="W496" s="81"/>
    </row>
    <row r="497" spans="10:23" ht="13">
      <c r="J497" s="122"/>
      <c r="K497" s="122"/>
      <c r="L497" s="87"/>
      <c r="N497" s="1"/>
      <c r="T497" s="122"/>
      <c r="U497" s="122"/>
      <c r="V497" s="79"/>
      <c r="W497" s="81"/>
    </row>
    <row r="498" spans="10:23" ht="13">
      <c r="J498" s="122"/>
      <c r="K498" s="122"/>
      <c r="L498" s="87"/>
      <c r="N498" s="1"/>
      <c r="T498" s="122"/>
      <c r="U498" s="122"/>
      <c r="V498" s="79"/>
      <c r="W498" s="81"/>
    </row>
    <row r="499" spans="10:23" ht="13">
      <c r="J499" s="122"/>
      <c r="K499" s="122"/>
      <c r="L499" s="87"/>
      <c r="N499" s="1"/>
      <c r="T499" s="122"/>
      <c r="U499" s="122"/>
      <c r="V499" s="79"/>
      <c r="W499" s="81"/>
    </row>
    <row r="500" spans="10:23" ht="13">
      <c r="J500" s="122"/>
      <c r="K500" s="122"/>
      <c r="L500" s="87"/>
      <c r="N500" s="1"/>
      <c r="T500" s="122"/>
      <c r="U500" s="122"/>
      <c r="V500" s="79"/>
      <c r="W500" s="81"/>
    </row>
    <row r="501" spans="10:23" ht="13">
      <c r="J501" s="122"/>
      <c r="K501" s="122"/>
      <c r="L501" s="87"/>
      <c r="N501" s="1"/>
      <c r="T501" s="122"/>
      <c r="U501" s="122"/>
      <c r="V501" s="79"/>
      <c r="W501" s="81"/>
    </row>
    <row r="502" spans="10:23" ht="13">
      <c r="J502" s="122"/>
      <c r="K502" s="122"/>
      <c r="L502" s="87"/>
      <c r="N502" s="1"/>
      <c r="T502" s="122"/>
      <c r="U502" s="122"/>
      <c r="V502" s="79"/>
      <c r="W502" s="81"/>
    </row>
    <row r="503" spans="10:23" ht="13">
      <c r="J503" s="122"/>
      <c r="K503" s="122"/>
      <c r="L503" s="87"/>
      <c r="N503" s="1"/>
      <c r="T503" s="122"/>
      <c r="U503" s="122"/>
      <c r="V503" s="79"/>
      <c r="W503" s="81"/>
    </row>
    <row r="504" spans="10:23" ht="13">
      <c r="J504" s="122"/>
      <c r="K504" s="122"/>
      <c r="L504" s="87"/>
      <c r="N504" s="1"/>
      <c r="T504" s="122"/>
      <c r="U504" s="122"/>
      <c r="V504" s="79"/>
      <c r="W504" s="81"/>
    </row>
    <row r="505" spans="10:23" ht="13">
      <c r="J505" s="122"/>
      <c r="K505" s="122"/>
      <c r="L505" s="87"/>
      <c r="N505" s="1"/>
      <c r="T505" s="122"/>
      <c r="U505" s="122"/>
      <c r="V505" s="79"/>
      <c r="W505" s="81"/>
    </row>
    <row r="506" spans="10:23" ht="13">
      <c r="J506" s="122"/>
      <c r="K506" s="122"/>
      <c r="L506" s="87"/>
      <c r="N506" s="1"/>
      <c r="T506" s="122"/>
      <c r="U506" s="122"/>
      <c r="V506" s="79"/>
      <c r="W506" s="81"/>
    </row>
    <row r="507" spans="10:23" ht="13">
      <c r="J507" s="122"/>
      <c r="K507" s="122"/>
      <c r="L507" s="87"/>
      <c r="N507" s="1"/>
      <c r="T507" s="122"/>
      <c r="U507" s="122"/>
      <c r="V507" s="79"/>
      <c r="W507" s="81"/>
    </row>
    <row r="508" spans="10:23" ht="13">
      <c r="J508" s="122"/>
      <c r="K508" s="122"/>
      <c r="L508" s="87"/>
      <c r="N508" s="1"/>
      <c r="T508" s="122"/>
      <c r="U508" s="122"/>
      <c r="V508" s="79"/>
      <c r="W508" s="81"/>
    </row>
    <row r="509" spans="10:23" ht="13">
      <c r="J509" s="122"/>
      <c r="K509" s="122"/>
      <c r="L509" s="87"/>
      <c r="N509" s="1"/>
      <c r="T509" s="122"/>
      <c r="U509" s="122"/>
      <c r="V509" s="79"/>
      <c r="W509" s="81"/>
    </row>
    <row r="510" spans="10:23" ht="13">
      <c r="J510" s="122"/>
      <c r="K510" s="122"/>
      <c r="L510" s="87"/>
      <c r="N510" s="1"/>
      <c r="T510" s="122"/>
      <c r="U510" s="122"/>
      <c r="V510" s="79"/>
      <c r="W510" s="81"/>
    </row>
    <row r="511" spans="10:23" ht="13">
      <c r="J511" s="122"/>
      <c r="K511" s="122"/>
      <c r="L511" s="87"/>
      <c r="N511" s="1"/>
      <c r="T511" s="122"/>
      <c r="U511" s="122"/>
      <c r="V511" s="79"/>
      <c r="W511" s="81"/>
    </row>
    <row r="512" spans="10:23" ht="13">
      <c r="J512" s="122"/>
      <c r="K512" s="122"/>
      <c r="L512" s="87"/>
      <c r="N512" s="1"/>
      <c r="T512" s="122"/>
      <c r="U512" s="122"/>
      <c r="V512" s="79"/>
      <c r="W512" s="81"/>
    </row>
    <row r="513" spans="10:23" ht="13">
      <c r="J513" s="122"/>
      <c r="K513" s="122"/>
      <c r="L513" s="87"/>
      <c r="N513" s="1"/>
      <c r="T513" s="122"/>
      <c r="U513" s="122"/>
      <c r="V513" s="79"/>
      <c r="W513" s="81"/>
    </row>
    <row r="514" spans="10:23" ht="13">
      <c r="J514" s="122"/>
      <c r="K514" s="122"/>
      <c r="L514" s="87"/>
      <c r="N514" s="1"/>
      <c r="T514" s="122"/>
      <c r="U514" s="122"/>
      <c r="V514" s="79"/>
      <c r="W514" s="81"/>
    </row>
    <row r="515" spans="10:23" ht="13">
      <c r="J515" s="122"/>
      <c r="K515" s="122"/>
      <c r="L515" s="87"/>
      <c r="N515" s="1"/>
      <c r="T515" s="122"/>
      <c r="U515" s="122"/>
      <c r="V515" s="79"/>
      <c r="W515" s="81"/>
    </row>
    <row r="516" spans="10:23" ht="13">
      <c r="J516" s="122"/>
      <c r="K516" s="122"/>
      <c r="L516" s="87"/>
      <c r="N516" s="1"/>
      <c r="T516" s="122"/>
      <c r="U516" s="122"/>
      <c r="V516" s="79"/>
      <c r="W516" s="81"/>
    </row>
    <row r="517" spans="10:23" ht="13">
      <c r="J517" s="122"/>
      <c r="K517" s="122"/>
      <c r="L517" s="87"/>
      <c r="N517" s="1"/>
      <c r="T517" s="122"/>
      <c r="U517" s="122"/>
      <c r="V517" s="79"/>
      <c r="W517" s="81"/>
    </row>
    <row r="518" spans="10:23" ht="13">
      <c r="J518" s="122"/>
      <c r="K518" s="122"/>
      <c r="L518" s="87"/>
      <c r="N518" s="1"/>
      <c r="T518" s="122"/>
      <c r="U518" s="122"/>
      <c r="V518" s="79"/>
      <c r="W518" s="81"/>
    </row>
    <row r="519" spans="10:23" ht="13">
      <c r="J519" s="122"/>
      <c r="K519" s="122"/>
      <c r="L519" s="87"/>
      <c r="N519" s="1"/>
      <c r="T519" s="122"/>
      <c r="U519" s="122"/>
      <c r="V519" s="79"/>
      <c r="W519" s="81"/>
    </row>
    <row r="520" spans="10:23" ht="13">
      <c r="J520" s="122"/>
      <c r="K520" s="122"/>
      <c r="L520" s="87"/>
      <c r="N520" s="1"/>
      <c r="T520" s="122"/>
      <c r="U520" s="122"/>
      <c r="V520" s="79"/>
      <c r="W520" s="81"/>
    </row>
    <row r="521" spans="10:23" ht="13">
      <c r="J521" s="122"/>
      <c r="K521" s="122"/>
      <c r="L521" s="87"/>
      <c r="N521" s="1"/>
      <c r="T521" s="122"/>
      <c r="U521" s="122"/>
      <c r="V521" s="79"/>
      <c r="W521" s="81"/>
    </row>
    <row r="522" spans="10:23" ht="13">
      <c r="J522" s="122"/>
      <c r="K522" s="122"/>
      <c r="L522" s="87"/>
      <c r="N522" s="1"/>
      <c r="T522" s="122"/>
      <c r="U522" s="122"/>
      <c r="V522" s="79"/>
      <c r="W522" s="81"/>
    </row>
    <row r="523" spans="10:23" ht="13">
      <c r="J523" s="122"/>
      <c r="K523" s="122"/>
      <c r="L523" s="87"/>
      <c r="N523" s="1"/>
      <c r="T523" s="122"/>
      <c r="U523" s="122"/>
      <c r="V523" s="79"/>
      <c r="W523" s="81"/>
    </row>
    <row r="524" spans="10:23" ht="13">
      <c r="J524" s="122"/>
      <c r="K524" s="122"/>
      <c r="L524" s="87"/>
      <c r="N524" s="1"/>
      <c r="T524" s="122"/>
      <c r="U524" s="122"/>
      <c r="V524" s="79"/>
      <c r="W524" s="81"/>
    </row>
    <row r="525" spans="10:23" ht="13">
      <c r="J525" s="122"/>
      <c r="K525" s="122"/>
      <c r="L525" s="87"/>
      <c r="N525" s="1"/>
      <c r="T525" s="122"/>
      <c r="U525" s="122"/>
      <c r="V525" s="79"/>
      <c r="W525" s="81"/>
    </row>
    <row r="526" spans="10:23" ht="13">
      <c r="J526" s="122"/>
      <c r="K526" s="122"/>
      <c r="L526" s="87"/>
      <c r="N526" s="1"/>
      <c r="T526" s="122"/>
      <c r="U526" s="122"/>
      <c r="V526" s="79"/>
      <c r="W526" s="81"/>
    </row>
    <row r="527" spans="10:23" ht="13">
      <c r="J527" s="122"/>
      <c r="K527" s="122"/>
      <c r="L527" s="87"/>
      <c r="N527" s="1"/>
      <c r="T527" s="122"/>
      <c r="U527" s="122"/>
      <c r="V527" s="79"/>
      <c r="W527" s="81"/>
    </row>
    <row r="528" spans="10:23" ht="13">
      <c r="J528" s="122"/>
      <c r="K528" s="122"/>
      <c r="L528" s="87"/>
      <c r="N528" s="1"/>
      <c r="T528" s="122"/>
      <c r="U528" s="122"/>
      <c r="V528" s="79"/>
      <c r="W528" s="81"/>
    </row>
    <row r="529" spans="10:23" ht="13">
      <c r="J529" s="122"/>
      <c r="K529" s="122"/>
      <c r="L529" s="87"/>
      <c r="N529" s="1"/>
      <c r="T529" s="122"/>
      <c r="U529" s="122"/>
      <c r="V529" s="79"/>
      <c r="W529" s="81"/>
    </row>
    <row r="530" spans="10:23" ht="13">
      <c r="J530" s="122"/>
      <c r="K530" s="122"/>
      <c r="L530" s="87"/>
      <c r="N530" s="1"/>
      <c r="T530" s="122"/>
      <c r="U530" s="122"/>
      <c r="V530" s="79"/>
      <c r="W530" s="81"/>
    </row>
    <row r="531" spans="10:23" ht="13">
      <c r="J531" s="122"/>
      <c r="K531" s="122"/>
      <c r="L531" s="87"/>
      <c r="N531" s="1"/>
      <c r="T531" s="122"/>
      <c r="U531" s="122"/>
      <c r="V531" s="79"/>
      <c r="W531" s="81"/>
    </row>
    <row r="532" spans="10:23" ht="13">
      <c r="J532" s="122"/>
      <c r="K532" s="122"/>
      <c r="L532" s="87"/>
      <c r="N532" s="1"/>
      <c r="T532" s="122"/>
      <c r="U532" s="122"/>
      <c r="V532" s="79"/>
      <c r="W532" s="81"/>
    </row>
    <row r="533" spans="10:23" ht="13">
      <c r="J533" s="122"/>
      <c r="K533" s="122"/>
      <c r="L533" s="87"/>
      <c r="N533" s="1"/>
      <c r="T533" s="122"/>
      <c r="U533" s="122"/>
      <c r="V533" s="79"/>
      <c r="W533" s="81"/>
    </row>
    <row r="534" spans="10:23" ht="13">
      <c r="J534" s="122"/>
      <c r="K534" s="122"/>
      <c r="L534" s="87"/>
      <c r="N534" s="1"/>
      <c r="T534" s="122"/>
      <c r="U534" s="122"/>
      <c r="V534" s="79"/>
      <c r="W534" s="81"/>
    </row>
    <row r="535" spans="10:23" ht="13">
      <c r="J535" s="122"/>
      <c r="K535" s="122"/>
      <c r="L535" s="87"/>
      <c r="N535" s="1"/>
      <c r="T535" s="122"/>
      <c r="U535" s="122"/>
      <c r="V535" s="79"/>
      <c r="W535" s="81"/>
    </row>
    <row r="536" spans="10:23" ht="13">
      <c r="J536" s="122"/>
      <c r="K536" s="122"/>
      <c r="L536" s="87"/>
      <c r="N536" s="1"/>
      <c r="T536" s="122"/>
      <c r="U536" s="122"/>
      <c r="V536" s="79"/>
      <c r="W536" s="81"/>
    </row>
    <row r="537" spans="10:23" ht="13">
      <c r="J537" s="122"/>
      <c r="K537" s="122"/>
      <c r="L537" s="87"/>
      <c r="N537" s="1"/>
      <c r="T537" s="122"/>
      <c r="U537" s="122"/>
      <c r="V537" s="79"/>
      <c r="W537" s="81"/>
    </row>
    <row r="538" spans="10:23" ht="13">
      <c r="J538" s="122"/>
      <c r="K538" s="122"/>
      <c r="L538" s="87"/>
      <c r="N538" s="1"/>
      <c r="T538" s="122"/>
      <c r="U538" s="122"/>
      <c r="V538" s="79"/>
      <c r="W538" s="81"/>
    </row>
    <row r="539" spans="10:23" ht="13">
      <c r="J539" s="122"/>
      <c r="K539" s="122"/>
      <c r="L539" s="87"/>
      <c r="N539" s="1"/>
      <c r="T539" s="122"/>
      <c r="U539" s="122"/>
      <c r="V539" s="79"/>
      <c r="W539" s="81"/>
    </row>
    <row r="540" spans="10:23" ht="13">
      <c r="J540" s="122"/>
      <c r="K540" s="122"/>
      <c r="L540" s="87"/>
      <c r="N540" s="1"/>
      <c r="T540" s="122"/>
      <c r="U540" s="122"/>
      <c r="V540" s="79"/>
      <c r="W540" s="81"/>
    </row>
    <row r="541" spans="10:23" ht="13">
      <c r="J541" s="122"/>
      <c r="K541" s="122"/>
      <c r="L541" s="87"/>
      <c r="N541" s="1"/>
      <c r="T541" s="122"/>
      <c r="U541" s="122"/>
      <c r="V541" s="79"/>
      <c r="W541" s="81"/>
    </row>
    <row r="542" spans="10:23" ht="13">
      <c r="J542" s="122"/>
      <c r="K542" s="122"/>
      <c r="L542" s="87"/>
      <c r="N542" s="1"/>
      <c r="T542" s="122"/>
      <c r="U542" s="122"/>
      <c r="V542" s="79"/>
      <c r="W542" s="81"/>
    </row>
    <row r="543" spans="10:23" ht="13">
      <c r="J543" s="122"/>
      <c r="K543" s="122"/>
      <c r="L543" s="87"/>
      <c r="N543" s="1"/>
      <c r="T543" s="122"/>
      <c r="U543" s="122"/>
      <c r="V543" s="79"/>
      <c r="W543" s="81"/>
    </row>
    <row r="544" spans="10:23" ht="13">
      <c r="J544" s="122"/>
      <c r="K544" s="122"/>
      <c r="L544" s="87"/>
      <c r="N544" s="1"/>
      <c r="T544" s="122"/>
      <c r="U544" s="122"/>
      <c r="V544" s="79"/>
      <c r="W544" s="81"/>
    </row>
    <row r="545" spans="10:23" ht="13">
      <c r="J545" s="122"/>
      <c r="K545" s="122"/>
      <c r="L545" s="87"/>
      <c r="N545" s="1"/>
      <c r="T545" s="122"/>
      <c r="U545" s="122"/>
      <c r="V545" s="79"/>
      <c r="W545" s="81"/>
    </row>
    <row r="546" spans="10:23" ht="13">
      <c r="J546" s="122"/>
      <c r="K546" s="122"/>
      <c r="L546" s="87"/>
      <c r="N546" s="1"/>
      <c r="T546" s="122"/>
      <c r="U546" s="122"/>
      <c r="V546" s="79"/>
      <c r="W546" s="81"/>
    </row>
    <row r="547" spans="10:23" ht="13">
      <c r="J547" s="122"/>
      <c r="K547" s="122"/>
      <c r="L547" s="87"/>
      <c r="N547" s="1"/>
      <c r="T547" s="122"/>
      <c r="U547" s="122"/>
      <c r="V547" s="79"/>
      <c r="W547" s="81"/>
    </row>
    <row r="548" spans="10:23" ht="13">
      <c r="J548" s="122"/>
      <c r="K548" s="122"/>
      <c r="L548" s="87"/>
      <c r="N548" s="1"/>
      <c r="T548" s="122"/>
      <c r="U548" s="122"/>
      <c r="V548" s="79"/>
      <c r="W548" s="81"/>
    </row>
    <row r="549" spans="10:23" ht="13">
      <c r="J549" s="122"/>
      <c r="K549" s="122"/>
      <c r="L549" s="87"/>
      <c r="N549" s="1"/>
      <c r="T549" s="122"/>
      <c r="U549" s="122"/>
      <c r="V549" s="79"/>
      <c r="W549" s="81"/>
    </row>
    <row r="550" spans="10:23" ht="13">
      <c r="J550" s="122"/>
      <c r="K550" s="122"/>
      <c r="L550" s="87"/>
      <c r="N550" s="1"/>
      <c r="T550" s="122"/>
      <c r="U550" s="122"/>
      <c r="V550" s="79"/>
      <c r="W550" s="81"/>
    </row>
    <row r="551" spans="10:23" ht="13">
      <c r="J551" s="122"/>
      <c r="K551" s="122"/>
      <c r="L551" s="87"/>
      <c r="N551" s="1"/>
      <c r="T551" s="122"/>
      <c r="U551" s="122"/>
      <c r="V551" s="79"/>
      <c r="W551" s="81"/>
    </row>
    <row r="552" spans="10:23" ht="13">
      <c r="J552" s="122"/>
      <c r="K552" s="122"/>
      <c r="L552" s="87"/>
      <c r="N552" s="1"/>
      <c r="T552" s="122"/>
      <c r="U552" s="122"/>
      <c r="V552" s="79"/>
      <c r="W552" s="81"/>
    </row>
    <row r="553" spans="10:23" ht="13">
      <c r="J553" s="122"/>
      <c r="K553" s="122"/>
      <c r="L553" s="87"/>
      <c r="N553" s="1"/>
      <c r="T553" s="122"/>
      <c r="U553" s="122"/>
      <c r="V553" s="79"/>
      <c r="W553" s="81"/>
    </row>
    <row r="554" spans="10:23" ht="13">
      <c r="J554" s="122"/>
      <c r="K554" s="122"/>
      <c r="L554" s="87"/>
      <c r="N554" s="1"/>
      <c r="T554" s="122"/>
      <c r="U554" s="122"/>
      <c r="V554" s="79"/>
      <c r="W554" s="81"/>
    </row>
    <row r="555" spans="10:23" ht="13">
      <c r="J555" s="122"/>
      <c r="K555" s="122"/>
      <c r="L555" s="87"/>
      <c r="N555" s="1"/>
      <c r="T555" s="122"/>
      <c r="U555" s="122"/>
      <c r="V555" s="79"/>
      <c r="W555" s="81"/>
    </row>
    <row r="556" spans="10:23" ht="13">
      <c r="J556" s="122"/>
      <c r="K556" s="122"/>
      <c r="L556" s="87"/>
      <c r="N556" s="1"/>
      <c r="T556" s="122"/>
      <c r="U556" s="122"/>
      <c r="V556" s="79"/>
      <c r="W556" s="81"/>
    </row>
    <row r="557" spans="10:23" ht="13">
      <c r="J557" s="122"/>
      <c r="K557" s="122"/>
      <c r="L557" s="87"/>
      <c r="N557" s="1"/>
      <c r="T557" s="122"/>
      <c r="U557" s="122"/>
      <c r="V557" s="79"/>
      <c r="W557" s="81"/>
    </row>
    <row r="558" spans="10:23" ht="13">
      <c r="J558" s="122"/>
      <c r="K558" s="122"/>
      <c r="L558" s="87"/>
      <c r="N558" s="1"/>
      <c r="T558" s="122"/>
      <c r="U558" s="122"/>
      <c r="V558" s="79"/>
      <c r="W558" s="81"/>
    </row>
    <row r="559" spans="10:23" ht="13">
      <c r="J559" s="122"/>
      <c r="K559" s="122"/>
      <c r="L559" s="87"/>
      <c r="N559" s="1"/>
      <c r="T559" s="122"/>
      <c r="U559" s="122"/>
      <c r="V559" s="79"/>
      <c r="W559" s="81"/>
    </row>
    <row r="560" spans="10:23" ht="13">
      <c r="J560" s="122"/>
      <c r="K560" s="122"/>
      <c r="L560" s="87"/>
      <c r="N560" s="1"/>
      <c r="T560" s="122"/>
      <c r="U560" s="122"/>
      <c r="V560" s="79"/>
      <c r="W560" s="81"/>
    </row>
    <row r="561" spans="10:23" ht="13">
      <c r="J561" s="122"/>
      <c r="K561" s="122"/>
      <c r="L561" s="87"/>
      <c r="N561" s="1"/>
      <c r="T561" s="122"/>
      <c r="U561" s="122"/>
      <c r="V561" s="79"/>
      <c r="W561" s="81"/>
    </row>
    <row r="562" spans="10:23" ht="13">
      <c r="J562" s="122"/>
      <c r="K562" s="122"/>
      <c r="L562" s="87"/>
      <c r="N562" s="1"/>
      <c r="T562" s="122"/>
      <c r="U562" s="122"/>
      <c r="V562" s="79"/>
      <c r="W562" s="81"/>
    </row>
    <row r="563" spans="10:23" ht="13">
      <c r="J563" s="122"/>
      <c r="K563" s="122"/>
      <c r="L563" s="87"/>
      <c r="N563" s="1"/>
      <c r="T563" s="122"/>
      <c r="U563" s="122"/>
      <c r="V563" s="79"/>
      <c r="W563" s="81"/>
    </row>
    <row r="564" spans="10:23" ht="13">
      <c r="J564" s="122"/>
      <c r="K564" s="122"/>
      <c r="L564" s="87"/>
      <c r="N564" s="1"/>
      <c r="T564" s="122"/>
      <c r="U564" s="122"/>
      <c r="V564" s="79"/>
      <c r="W564" s="81"/>
    </row>
    <row r="565" spans="10:23" ht="13">
      <c r="J565" s="122"/>
      <c r="K565" s="122"/>
      <c r="L565" s="87"/>
      <c r="N565" s="1"/>
      <c r="T565" s="122"/>
      <c r="U565" s="122"/>
      <c r="V565" s="79"/>
      <c r="W565" s="81"/>
    </row>
    <row r="566" spans="10:23" ht="13">
      <c r="J566" s="122"/>
      <c r="K566" s="122"/>
      <c r="L566" s="87"/>
      <c r="N566" s="1"/>
      <c r="T566" s="122"/>
      <c r="U566" s="122"/>
      <c r="V566" s="79"/>
      <c r="W566" s="81"/>
    </row>
    <row r="567" spans="10:23" ht="13">
      <c r="J567" s="122"/>
      <c r="K567" s="122"/>
      <c r="L567" s="87"/>
      <c r="N567" s="1"/>
      <c r="T567" s="122"/>
      <c r="U567" s="122"/>
      <c r="V567" s="79"/>
      <c r="W567" s="81"/>
    </row>
    <row r="568" spans="10:23" ht="13">
      <c r="J568" s="122"/>
      <c r="K568" s="122"/>
      <c r="L568" s="87"/>
      <c r="N568" s="1"/>
      <c r="T568" s="122"/>
      <c r="U568" s="122"/>
      <c r="V568" s="79"/>
      <c r="W568" s="81"/>
    </row>
    <row r="569" spans="10:23" ht="13">
      <c r="J569" s="122"/>
      <c r="K569" s="122"/>
      <c r="L569" s="87"/>
      <c r="N569" s="1"/>
      <c r="T569" s="122"/>
      <c r="U569" s="122"/>
      <c r="V569" s="79"/>
      <c r="W569" s="81"/>
    </row>
    <row r="570" spans="10:23" ht="13">
      <c r="J570" s="122"/>
      <c r="K570" s="122"/>
      <c r="L570" s="87"/>
      <c r="N570" s="1"/>
      <c r="T570" s="122"/>
      <c r="U570" s="122"/>
      <c r="V570" s="79"/>
      <c r="W570" s="81"/>
    </row>
    <row r="571" spans="10:23" ht="13">
      <c r="J571" s="122"/>
      <c r="K571" s="122"/>
      <c r="L571" s="87"/>
      <c r="N571" s="1"/>
      <c r="T571" s="122"/>
      <c r="U571" s="122"/>
      <c r="V571" s="79"/>
      <c r="W571" s="81"/>
    </row>
    <row r="572" spans="10:23" ht="13">
      <c r="J572" s="122"/>
      <c r="K572" s="122"/>
      <c r="L572" s="87"/>
      <c r="N572" s="1"/>
      <c r="T572" s="122"/>
      <c r="U572" s="122"/>
      <c r="V572" s="79"/>
      <c r="W572" s="81"/>
    </row>
    <row r="573" spans="10:23" ht="13">
      <c r="J573" s="122"/>
      <c r="K573" s="122"/>
      <c r="L573" s="87"/>
      <c r="N573" s="1"/>
      <c r="T573" s="122"/>
      <c r="U573" s="122"/>
      <c r="V573" s="79"/>
      <c r="W573" s="81"/>
    </row>
    <row r="574" spans="10:23" ht="13">
      <c r="J574" s="122"/>
      <c r="K574" s="122"/>
      <c r="L574" s="87"/>
      <c r="N574" s="1"/>
      <c r="T574" s="122"/>
      <c r="U574" s="122"/>
      <c r="V574" s="79"/>
      <c r="W574" s="81"/>
    </row>
    <row r="575" spans="10:23" ht="13">
      <c r="J575" s="122"/>
      <c r="K575" s="122"/>
      <c r="L575" s="87"/>
      <c r="N575" s="1"/>
      <c r="T575" s="122"/>
      <c r="U575" s="122"/>
      <c r="V575" s="79"/>
      <c r="W575" s="81"/>
    </row>
    <row r="576" spans="10:23" ht="13">
      <c r="J576" s="122"/>
      <c r="K576" s="122"/>
      <c r="L576" s="87"/>
      <c r="N576" s="1"/>
      <c r="T576" s="122"/>
      <c r="U576" s="122"/>
      <c r="V576" s="79"/>
      <c r="W576" s="81"/>
    </row>
    <row r="577" spans="10:23" ht="13">
      <c r="J577" s="122"/>
      <c r="K577" s="122"/>
      <c r="L577" s="87"/>
      <c r="N577" s="1"/>
      <c r="T577" s="122"/>
      <c r="U577" s="122"/>
      <c r="V577" s="79"/>
      <c r="W577" s="81"/>
    </row>
    <row r="578" spans="10:23" ht="13">
      <c r="J578" s="122"/>
      <c r="K578" s="122"/>
      <c r="L578" s="87"/>
      <c r="N578" s="1"/>
      <c r="T578" s="122"/>
      <c r="U578" s="122"/>
      <c r="V578" s="79"/>
      <c r="W578" s="81"/>
    </row>
    <row r="579" spans="10:23" ht="13">
      <c r="J579" s="122"/>
      <c r="K579" s="122"/>
      <c r="L579" s="87"/>
      <c r="N579" s="1"/>
      <c r="T579" s="122"/>
      <c r="U579" s="122"/>
      <c r="V579" s="79"/>
      <c r="W579" s="81"/>
    </row>
    <row r="580" spans="10:23" ht="13">
      <c r="J580" s="122"/>
      <c r="K580" s="122"/>
      <c r="L580" s="87"/>
      <c r="N580" s="1"/>
      <c r="T580" s="122"/>
      <c r="U580" s="122"/>
      <c r="V580" s="79"/>
      <c r="W580" s="81"/>
    </row>
    <row r="581" spans="10:23" ht="13">
      <c r="J581" s="122"/>
      <c r="K581" s="122"/>
      <c r="L581" s="87"/>
      <c r="N581" s="1"/>
      <c r="T581" s="122"/>
      <c r="U581" s="122"/>
      <c r="V581" s="79"/>
      <c r="W581" s="81"/>
    </row>
    <row r="582" spans="10:23" ht="13">
      <c r="J582" s="122"/>
      <c r="K582" s="122"/>
      <c r="L582" s="87"/>
      <c r="N582" s="1"/>
      <c r="T582" s="122"/>
      <c r="U582" s="122"/>
      <c r="V582" s="79"/>
      <c r="W582" s="81"/>
    </row>
    <row r="583" spans="10:23" ht="13">
      <c r="J583" s="122"/>
      <c r="K583" s="122"/>
      <c r="L583" s="87"/>
      <c r="N583" s="1"/>
      <c r="T583" s="122"/>
      <c r="U583" s="122"/>
      <c r="V583" s="79"/>
      <c r="W583" s="81"/>
    </row>
    <row r="584" spans="10:23" ht="13">
      <c r="J584" s="122"/>
      <c r="K584" s="122"/>
      <c r="L584" s="87"/>
      <c r="N584" s="1"/>
      <c r="T584" s="122"/>
      <c r="U584" s="122"/>
      <c r="V584" s="79"/>
      <c r="W584" s="81"/>
    </row>
    <row r="585" spans="10:23" ht="13">
      <c r="J585" s="122"/>
      <c r="K585" s="122"/>
      <c r="L585" s="87"/>
      <c r="N585" s="1"/>
      <c r="T585" s="122"/>
      <c r="U585" s="122"/>
      <c r="V585" s="79"/>
      <c r="W585" s="81"/>
    </row>
    <row r="586" spans="10:23" ht="13">
      <c r="J586" s="122"/>
      <c r="K586" s="122"/>
      <c r="L586" s="87"/>
      <c r="N586" s="1"/>
      <c r="T586" s="122"/>
      <c r="U586" s="122"/>
      <c r="V586" s="79"/>
      <c r="W586" s="81"/>
    </row>
    <row r="587" spans="10:23" ht="13">
      <c r="J587" s="122"/>
      <c r="K587" s="122"/>
      <c r="L587" s="87"/>
      <c r="N587" s="1"/>
      <c r="T587" s="122"/>
      <c r="U587" s="122"/>
      <c r="V587" s="79"/>
      <c r="W587" s="81"/>
    </row>
    <row r="588" spans="10:23" ht="13">
      <c r="J588" s="122"/>
      <c r="K588" s="122"/>
      <c r="L588" s="87"/>
      <c r="N588" s="1"/>
      <c r="T588" s="122"/>
      <c r="U588" s="122"/>
      <c r="V588" s="79"/>
      <c r="W588" s="81"/>
    </row>
    <row r="589" spans="10:23" ht="13">
      <c r="J589" s="122"/>
      <c r="K589" s="122"/>
      <c r="L589" s="87"/>
      <c r="N589" s="1"/>
      <c r="T589" s="122"/>
      <c r="U589" s="122"/>
      <c r="V589" s="79"/>
      <c r="W589" s="81"/>
    </row>
    <row r="590" spans="10:23" ht="13">
      <c r="J590" s="122"/>
      <c r="K590" s="122"/>
      <c r="L590" s="87"/>
      <c r="N590" s="1"/>
      <c r="T590" s="122"/>
      <c r="U590" s="122"/>
      <c r="V590" s="79"/>
      <c r="W590" s="81"/>
    </row>
    <row r="591" spans="10:23" ht="13">
      <c r="J591" s="122"/>
      <c r="K591" s="122"/>
      <c r="L591" s="87"/>
      <c r="N591" s="1"/>
      <c r="T591" s="122"/>
      <c r="U591" s="122"/>
      <c r="V591" s="79"/>
      <c r="W591" s="81"/>
    </row>
    <row r="592" spans="10:23" ht="13">
      <c r="J592" s="122"/>
      <c r="K592" s="122"/>
      <c r="L592" s="87"/>
      <c r="N592" s="1"/>
      <c r="T592" s="122"/>
      <c r="U592" s="122"/>
      <c r="V592" s="79"/>
      <c r="W592" s="81"/>
    </row>
    <row r="593" spans="10:23" ht="13">
      <c r="J593" s="122"/>
      <c r="K593" s="122"/>
      <c r="L593" s="87"/>
      <c r="N593" s="1"/>
      <c r="T593" s="122"/>
      <c r="U593" s="122"/>
      <c r="V593" s="79"/>
      <c r="W593" s="81"/>
    </row>
    <row r="594" spans="10:23" ht="13">
      <c r="J594" s="122"/>
      <c r="K594" s="122"/>
      <c r="L594" s="87"/>
      <c r="N594" s="1"/>
      <c r="T594" s="122"/>
      <c r="U594" s="122"/>
      <c r="V594" s="79"/>
      <c r="W594" s="81"/>
    </row>
    <row r="595" spans="10:23" ht="13">
      <c r="J595" s="122"/>
      <c r="K595" s="122"/>
      <c r="L595" s="87"/>
      <c r="N595" s="1"/>
      <c r="T595" s="122"/>
      <c r="U595" s="122"/>
      <c r="V595" s="79"/>
      <c r="W595" s="81"/>
    </row>
    <row r="596" spans="10:23" ht="13">
      <c r="J596" s="122"/>
      <c r="K596" s="122"/>
      <c r="L596" s="87"/>
      <c r="N596" s="1"/>
      <c r="T596" s="122"/>
      <c r="U596" s="122"/>
      <c r="V596" s="79"/>
      <c r="W596" s="81"/>
    </row>
    <row r="597" spans="10:23" ht="13">
      <c r="J597" s="122"/>
      <c r="K597" s="122"/>
      <c r="L597" s="87"/>
      <c r="N597" s="1"/>
      <c r="T597" s="122"/>
      <c r="U597" s="122"/>
      <c r="V597" s="79"/>
      <c r="W597" s="81"/>
    </row>
    <row r="598" spans="10:23" ht="13">
      <c r="J598" s="122"/>
      <c r="K598" s="122"/>
      <c r="L598" s="87"/>
      <c r="N598" s="1"/>
      <c r="T598" s="122"/>
      <c r="U598" s="122"/>
      <c r="V598" s="79"/>
      <c r="W598" s="81"/>
    </row>
    <row r="599" spans="10:23" ht="13">
      <c r="J599" s="122"/>
      <c r="K599" s="122"/>
      <c r="L599" s="87"/>
      <c r="N599" s="1"/>
      <c r="T599" s="122"/>
      <c r="U599" s="122"/>
      <c r="V599" s="79"/>
      <c r="W599" s="81"/>
    </row>
    <row r="600" spans="10:23" ht="13">
      <c r="J600" s="122"/>
      <c r="K600" s="122"/>
      <c r="L600" s="87"/>
      <c r="N600" s="1"/>
      <c r="T600" s="122"/>
      <c r="U600" s="122"/>
      <c r="V600" s="79"/>
      <c r="W600" s="81"/>
    </row>
    <row r="601" spans="10:23" ht="13">
      <c r="J601" s="122"/>
      <c r="K601" s="122"/>
      <c r="L601" s="87"/>
      <c r="N601" s="1"/>
      <c r="T601" s="122"/>
      <c r="U601" s="122"/>
      <c r="V601" s="79"/>
      <c r="W601" s="81"/>
    </row>
    <row r="602" spans="10:23" ht="13">
      <c r="J602" s="122"/>
      <c r="K602" s="122"/>
      <c r="L602" s="87"/>
      <c r="N602" s="1"/>
      <c r="T602" s="122"/>
      <c r="U602" s="122"/>
      <c r="V602" s="79"/>
      <c r="W602" s="81"/>
    </row>
    <row r="603" spans="10:23" ht="13">
      <c r="J603" s="122"/>
      <c r="K603" s="122"/>
      <c r="L603" s="87"/>
      <c r="N603" s="1"/>
      <c r="T603" s="122"/>
      <c r="U603" s="122"/>
      <c r="V603" s="79"/>
      <c r="W603" s="81"/>
    </row>
    <row r="604" spans="10:23" ht="13">
      <c r="J604" s="122"/>
      <c r="K604" s="122"/>
      <c r="L604" s="87"/>
      <c r="N604" s="1"/>
      <c r="T604" s="122"/>
      <c r="U604" s="122"/>
      <c r="V604" s="79"/>
      <c r="W604" s="81"/>
    </row>
    <row r="605" spans="10:23" ht="13">
      <c r="J605" s="122"/>
      <c r="K605" s="122"/>
      <c r="L605" s="87"/>
      <c r="N605" s="1"/>
      <c r="T605" s="122"/>
      <c r="U605" s="122"/>
      <c r="V605" s="79"/>
      <c r="W605" s="81"/>
    </row>
    <row r="606" spans="10:23" ht="13">
      <c r="J606" s="122"/>
      <c r="K606" s="122"/>
      <c r="L606" s="87"/>
      <c r="N606" s="1"/>
      <c r="T606" s="122"/>
      <c r="U606" s="122"/>
      <c r="V606" s="79"/>
      <c r="W606" s="81"/>
    </row>
    <row r="607" spans="10:23" ht="13">
      <c r="J607" s="122"/>
      <c r="K607" s="122"/>
      <c r="L607" s="87"/>
      <c r="N607" s="1"/>
      <c r="T607" s="122"/>
      <c r="U607" s="122"/>
      <c r="V607" s="79"/>
      <c r="W607" s="81"/>
    </row>
    <row r="608" spans="10:23" ht="13">
      <c r="J608" s="122"/>
      <c r="K608" s="122"/>
      <c r="L608" s="87"/>
      <c r="N608" s="1"/>
      <c r="T608" s="122"/>
      <c r="U608" s="122"/>
      <c r="V608" s="79"/>
      <c r="W608" s="81"/>
    </row>
    <row r="609" spans="10:23" ht="13">
      <c r="J609" s="122"/>
      <c r="K609" s="122"/>
      <c r="L609" s="87"/>
      <c r="N609" s="1"/>
      <c r="T609" s="122"/>
      <c r="U609" s="122"/>
      <c r="V609" s="79"/>
      <c r="W609" s="81"/>
    </row>
    <row r="610" spans="10:23" ht="13">
      <c r="J610" s="122"/>
      <c r="K610" s="122"/>
      <c r="L610" s="87"/>
      <c r="N610" s="1"/>
      <c r="T610" s="122"/>
      <c r="U610" s="122"/>
      <c r="V610" s="79"/>
      <c r="W610" s="81"/>
    </row>
    <row r="611" spans="10:23" ht="13">
      <c r="J611" s="122"/>
      <c r="K611" s="122"/>
      <c r="L611" s="87"/>
      <c r="N611" s="1"/>
      <c r="T611" s="122"/>
      <c r="U611" s="122"/>
      <c r="V611" s="79"/>
      <c r="W611" s="81"/>
    </row>
    <row r="612" spans="10:23" ht="13">
      <c r="J612" s="122"/>
      <c r="K612" s="122"/>
      <c r="L612" s="87"/>
      <c r="N612" s="1"/>
      <c r="T612" s="122"/>
      <c r="U612" s="122"/>
      <c r="V612" s="79"/>
      <c r="W612" s="81"/>
    </row>
    <row r="613" spans="10:23" ht="13">
      <c r="J613" s="122"/>
      <c r="K613" s="122"/>
      <c r="L613" s="87"/>
      <c r="N613" s="1"/>
      <c r="T613" s="122"/>
      <c r="U613" s="122"/>
      <c r="V613" s="79"/>
      <c r="W613" s="81"/>
    </row>
    <row r="614" spans="10:23" ht="13">
      <c r="J614" s="122"/>
      <c r="K614" s="122"/>
      <c r="L614" s="87"/>
      <c r="N614" s="1"/>
      <c r="T614" s="122"/>
      <c r="U614" s="122"/>
      <c r="V614" s="79"/>
      <c r="W614" s="81"/>
    </row>
    <row r="615" spans="10:23" ht="13">
      <c r="J615" s="122"/>
      <c r="K615" s="122"/>
      <c r="L615" s="87"/>
      <c r="N615" s="1"/>
      <c r="T615" s="122"/>
      <c r="U615" s="122"/>
      <c r="V615" s="79"/>
      <c r="W615" s="81"/>
    </row>
    <row r="616" spans="10:23" ht="13">
      <c r="J616" s="122"/>
      <c r="K616" s="122"/>
      <c r="L616" s="87"/>
      <c r="N616" s="1"/>
      <c r="T616" s="122"/>
      <c r="U616" s="122"/>
      <c r="V616" s="79"/>
      <c r="W616" s="81"/>
    </row>
    <row r="617" spans="10:23" ht="13">
      <c r="J617" s="122"/>
      <c r="K617" s="122"/>
      <c r="L617" s="87"/>
      <c r="N617" s="1"/>
      <c r="T617" s="122"/>
      <c r="U617" s="122"/>
      <c r="V617" s="79"/>
      <c r="W617" s="81"/>
    </row>
    <row r="618" spans="10:23" ht="13">
      <c r="J618" s="122"/>
      <c r="K618" s="122"/>
      <c r="L618" s="87"/>
      <c r="N618" s="1"/>
      <c r="T618" s="122"/>
      <c r="U618" s="122"/>
      <c r="V618" s="79"/>
      <c r="W618" s="81"/>
    </row>
    <row r="619" spans="10:23" ht="13">
      <c r="J619" s="122"/>
      <c r="K619" s="122"/>
      <c r="L619" s="87"/>
      <c r="N619" s="1"/>
      <c r="T619" s="122"/>
      <c r="U619" s="122"/>
      <c r="V619" s="79"/>
      <c r="W619" s="81"/>
    </row>
    <row r="620" spans="10:23" ht="13">
      <c r="J620" s="122"/>
      <c r="K620" s="122"/>
      <c r="L620" s="87"/>
      <c r="N620" s="1"/>
      <c r="T620" s="122"/>
      <c r="U620" s="122"/>
      <c r="V620" s="79"/>
      <c r="W620" s="81"/>
    </row>
    <row r="621" spans="10:23" ht="13">
      <c r="J621" s="122"/>
      <c r="K621" s="122"/>
      <c r="L621" s="87"/>
      <c r="N621" s="1"/>
      <c r="T621" s="122"/>
      <c r="U621" s="122"/>
      <c r="V621" s="79"/>
      <c r="W621" s="81"/>
    </row>
    <row r="622" spans="10:23" ht="13">
      <c r="J622" s="122"/>
      <c r="K622" s="122"/>
      <c r="L622" s="87"/>
      <c r="N622" s="1"/>
      <c r="T622" s="122"/>
      <c r="U622" s="122"/>
      <c r="V622" s="79"/>
      <c r="W622" s="81"/>
    </row>
    <row r="623" spans="10:23" ht="13">
      <c r="J623" s="122"/>
      <c r="K623" s="122"/>
      <c r="L623" s="87"/>
      <c r="N623" s="1"/>
      <c r="T623" s="122"/>
      <c r="U623" s="122"/>
      <c r="V623" s="79"/>
      <c r="W623" s="81"/>
    </row>
    <row r="624" spans="10:23" ht="13">
      <c r="J624" s="122"/>
      <c r="K624" s="122"/>
      <c r="L624" s="87"/>
      <c r="N624" s="1"/>
      <c r="T624" s="122"/>
      <c r="U624" s="122"/>
      <c r="V624" s="79"/>
      <c r="W624" s="81"/>
    </row>
    <row r="625" spans="10:23" ht="13">
      <c r="J625" s="122"/>
      <c r="K625" s="122"/>
      <c r="L625" s="87"/>
      <c r="N625" s="1"/>
      <c r="T625" s="122"/>
      <c r="U625" s="122"/>
      <c r="V625" s="79"/>
      <c r="W625" s="81"/>
    </row>
    <row r="626" spans="10:23" ht="13">
      <c r="J626" s="122"/>
      <c r="K626" s="122"/>
      <c r="L626" s="87"/>
      <c r="N626" s="1"/>
      <c r="T626" s="122"/>
      <c r="U626" s="122"/>
      <c r="V626" s="79"/>
      <c r="W626" s="81"/>
    </row>
    <row r="627" spans="10:23" ht="13">
      <c r="J627" s="122"/>
      <c r="K627" s="122"/>
      <c r="L627" s="87"/>
      <c r="N627" s="1"/>
      <c r="T627" s="122"/>
      <c r="U627" s="122"/>
      <c r="V627" s="79"/>
      <c r="W627" s="81"/>
    </row>
    <row r="628" spans="10:23" ht="13">
      <c r="J628" s="122"/>
      <c r="K628" s="122"/>
      <c r="L628" s="87"/>
      <c r="N628" s="1"/>
      <c r="T628" s="122"/>
      <c r="U628" s="122"/>
      <c r="V628" s="79"/>
      <c r="W628" s="81"/>
    </row>
    <row r="629" spans="10:23" ht="13">
      <c r="J629" s="122"/>
      <c r="K629" s="122"/>
      <c r="L629" s="87"/>
      <c r="N629" s="1"/>
      <c r="T629" s="122"/>
      <c r="U629" s="122"/>
      <c r="V629" s="79"/>
      <c r="W629" s="81"/>
    </row>
    <row r="630" spans="10:23" ht="13">
      <c r="J630" s="122"/>
      <c r="K630" s="122"/>
      <c r="L630" s="87"/>
      <c r="N630" s="1"/>
      <c r="T630" s="122"/>
      <c r="U630" s="122"/>
      <c r="V630" s="79"/>
      <c r="W630" s="81"/>
    </row>
    <row r="631" spans="10:23" ht="13">
      <c r="J631" s="122"/>
      <c r="K631" s="122"/>
      <c r="L631" s="87"/>
      <c r="N631" s="1"/>
      <c r="T631" s="122"/>
      <c r="U631" s="122"/>
      <c r="V631" s="79"/>
      <c r="W631" s="81"/>
    </row>
    <row r="632" spans="10:23" ht="13">
      <c r="J632" s="122"/>
      <c r="K632" s="122"/>
      <c r="L632" s="87"/>
      <c r="N632" s="1"/>
      <c r="T632" s="122"/>
      <c r="U632" s="122"/>
      <c r="V632" s="79"/>
      <c r="W632" s="81"/>
    </row>
    <row r="633" spans="10:23" ht="13">
      <c r="J633" s="122"/>
      <c r="K633" s="122"/>
      <c r="L633" s="87"/>
      <c r="N633" s="1"/>
      <c r="T633" s="122"/>
      <c r="U633" s="122"/>
      <c r="V633" s="79"/>
      <c r="W633" s="81"/>
    </row>
    <row r="634" spans="10:23" ht="13">
      <c r="J634" s="122"/>
      <c r="K634" s="122"/>
      <c r="L634" s="87"/>
      <c r="N634" s="1"/>
      <c r="T634" s="122"/>
      <c r="U634" s="122"/>
      <c r="V634" s="79"/>
      <c r="W634" s="81"/>
    </row>
    <row r="635" spans="10:23" ht="13">
      <c r="J635" s="122"/>
      <c r="K635" s="122"/>
      <c r="L635" s="87"/>
      <c r="N635" s="1"/>
      <c r="T635" s="122"/>
      <c r="U635" s="122"/>
      <c r="V635" s="79"/>
      <c r="W635" s="81"/>
    </row>
    <row r="636" spans="10:23" ht="13">
      <c r="J636" s="122"/>
      <c r="K636" s="122"/>
      <c r="L636" s="87"/>
      <c r="N636" s="1"/>
      <c r="T636" s="122"/>
      <c r="U636" s="122"/>
      <c r="V636" s="79"/>
      <c r="W636" s="81"/>
    </row>
    <row r="637" spans="10:23" ht="13">
      <c r="J637" s="122"/>
      <c r="K637" s="122"/>
      <c r="L637" s="87"/>
      <c r="N637" s="1"/>
      <c r="T637" s="122"/>
      <c r="U637" s="122"/>
      <c r="V637" s="79"/>
      <c r="W637" s="81"/>
    </row>
    <row r="638" spans="10:23" ht="13">
      <c r="J638" s="122"/>
      <c r="K638" s="122"/>
      <c r="L638" s="87"/>
      <c r="N638" s="1"/>
      <c r="T638" s="122"/>
      <c r="U638" s="122"/>
      <c r="V638" s="79"/>
      <c r="W638" s="81"/>
    </row>
    <row r="639" spans="10:23" ht="13">
      <c r="J639" s="122"/>
      <c r="K639" s="122"/>
      <c r="L639" s="87"/>
      <c r="N639" s="1"/>
      <c r="T639" s="122"/>
      <c r="U639" s="122"/>
      <c r="V639" s="79"/>
      <c r="W639" s="81"/>
    </row>
    <row r="640" spans="10:23" ht="13">
      <c r="J640" s="122"/>
      <c r="K640" s="122"/>
      <c r="L640" s="87"/>
      <c r="N640" s="1"/>
      <c r="T640" s="122"/>
      <c r="U640" s="122"/>
      <c r="V640" s="79"/>
      <c r="W640" s="81"/>
    </row>
    <row r="641" spans="10:23" ht="13">
      <c r="J641" s="122"/>
      <c r="K641" s="122"/>
      <c r="L641" s="87"/>
      <c r="N641" s="1"/>
      <c r="T641" s="122"/>
      <c r="U641" s="122"/>
      <c r="V641" s="79"/>
      <c r="W641" s="81"/>
    </row>
    <row r="642" spans="10:23" ht="13">
      <c r="J642" s="122"/>
      <c r="K642" s="122"/>
      <c r="L642" s="87"/>
      <c r="N642" s="1"/>
      <c r="T642" s="122"/>
      <c r="U642" s="122"/>
      <c r="V642" s="79"/>
      <c r="W642" s="81"/>
    </row>
    <row r="643" spans="10:23" ht="13">
      <c r="J643" s="122"/>
      <c r="K643" s="122"/>
      <c r="L643" s="87"/>
      <c r="N643" s="1"/>
      <c r="T643" s="122"/>
      <c r="U643" s="122"/>
      <c r="V643" s="79"/>
      <c r="W643" s="81"/>
    </row>
    <row r="644" spans="10:23" ht="13">
      <c r="J644" s="122"/>
      <c r="K644" s="122"/>
      <c r="L644" s="87"/>
      <c r="N644" s="1"/>
      <c r="T644" s="122"/>
      <c r="U644" s="122"/>
      <c r="V644" s="79"/>
      <c r="W644" s="81"/>
    </row>
    <row r="645" spans="10:23" ht="13">
      <c r="J645" s="122"/>
      <c r="K645" s="122"/>
      <c r="L645" s="87"/>
      <c r="N645" s="1"/>
      <c r="T645" s="122"/>
      <c r="U645" s="122"/>
      <c r="V645" s="79"/>
      <c r="W645" s="81"/>
    </row>
    <row r="646" spans="10:23" ht="13">
      <c r="J646" s="122"/>
      <c r="K646" s="122"/>
      <c r="L646" s="87"/>
      <c r="N646" s="1"/>
      <c r="T646" s="122"/>
      <c r="U646" s="122"/>
      <c r="V646" s="79"/>
      <c r="W646" s="81"/>
    </row>
    <row r="647" spans="10:23" ht="13">
      <c r="J647" s="122"/>
      <c r="K647" s="122"/>
      <c r="L647" s="87"/>
      <c r="N647" s="1"/>
      <c r="T647" s="122"/>
      <c r="U647" s="122"/>
      <c r="V647" s="79"/>
      <c r="W647" s="81"/>
    </row>
    <row r="648" spans="10:23" ht="13">
      <c r="J648" s="122"/>
      <c r="K648" s="122"/>
      <c r="L648" s="87"/>
      <c r="N648" s="1"/>
      <c r="T648" s="122"/>
      <c r="U648" s="122"/>
      <c r="V648" s="79"/>
      <c r="W648" s="81"/>
    </row>
    <row r="649" spans="10:23" ht="13">
      <c r="J649" s="122"/>
      <c r="K649" s="122"/>
      <c r="L649" s="87"/>
      <c r="N649" s="1"/>
      <c r="T649" s="122"/>
      <c r="U649" s="122"/>
      <c r="V649" s="79"/>
      <c r="W649" s="81"/>
    </row>
    <row r="650" spans="10:23" ht="13">
      <c r="J650" s="122"/>
      <c r="K650" s="122"/>
      <c r="L650" s="87"/>
      <c r="N650" s="1"/>
      <c r="T650" s="122"/>
      <c r="U650" s="122"/>
      <c r="V650" s="79"/>
      <c r="W650" s="81"/>
    </row>
    <row r="651" spans="10:23" ht="13">
      <c r="J651" s="122"/>
      <c r="K651" s="122"/>
      <c r="L651" s="87"/>
      <c r="N651" s="1"/>
      <c r="T651" s="122"/>
      <c r="U651" s="122"/>
      <c r="V651" s="79"/>
      <c r="W651" s="81"/>
    </row>
    <row r="652" spans="10:23" ht="13">
      <c r="J652" s="122"/>
      <c r="K652" s="122"/>
      <c r="L652" s="87"/>
      <c r="N652" s="1"/>
      <c r="T652" s="122"/>
      <c r="U652" s="122"/>
      <c r="V652" s="79"/>
      <c r="W652" s="81"/>
    </row>
    <row r="653" spans="10:23" ht="13">
      <c r="J653" s="122"/>
      <c r="K653" s="122"/>
      <c r="L653" s="87"/>
      <c r="N653" s="1"/>
      <c r="T653" s="122"/>
      <c r="U653" s="122"/>
      <c r="V653" s="79"/>
      <c r="W653" s="81"/>
    </row>
    <row r="654" spans="10:23" ht="13">
      <c r="J654" s="122"/>
      <c r="K654" s="122"/>
      <c r="L654" s="87"/>
      <c r="N654" s="1"/>
      <c r="T654" s="122"/>
      <c r="U654" s="122"/>
      <c r="V654" s="79"/>
      <c r="W654" s="81"/>
    </row>
    <row r="655" spans="10:23" ht="13">
      <c r="J655" s="122"/>
      <c r="K655" s="122"/>
      <c r="L655" s="87"/>
      <c r="N655" s="1"/>
      <c r="T655" s="122"/>
      <c r="U655" s="122"/>
      <c r="V655" s="79"/>
      <c r="W655" s="81"/>
    </row>
    <row r="656" spans="10:23" ht="13">
      <c r="J656" s="122"/>
      <c r="K656" s="122"/>
      <c r="L656" s="87"/>
      <c r="N656" s="1"/>
      <c r="T656" s="122"/>
      <c r="U656" s="122"/>
      <c r="V656" s="79"/>
      <c r="W656" s="81"/>
    </row>
    <row r="657" spans="10:23" ht="13">
      <c r="J657" s="122"/>
      <c r="K657" s="122"/>
      <c r="L657" s="87"/>
      <c r="N657" s="1"/>
      <c r="T657" s="122"/>
      <c r="U657" s="122"/>
      <c r="V657" s="79"/>
      <c r="W657" s="81"/>
    </row>
    <row r="658" spans="10:23" ht="13">
      <c r="J658" s="122"/>
      <c r="K658" s="122"/>
      <c r="L658" s="87"/>
      <c r="N658" s="1"/>
      <c r="T658" s="122"/>
      <c r="U658" s="122"/>
      <c r="V658" s="79"/>
      <c r="W658" s="81"/>
    </row>
    <row r="659" spans="10:23" ht="13">
      <c r="J659" s="122"/>
      <c r="K659" s="122"/>
      <c r="L659" s="87"/>
      <c r="N659" s="1"/>
      <c r="T659" s="122"/>
      <c r="U659" s="122"/>
      <c r="V659" s="79"/>
      <c r="W659" s="81"/>
    </row>
    <row r="660" spans="10:23" ht="13">
      <c r="J660" s="122"/>
      <c r="K660" s="122"/>
      <c r="L660" s="87"/>
      <c r="N660" s="1"/>
      <c r="T660" s="122"/>
      <c r="U660" s="122"/>
      <c r="V660" s="79"/>
      <c r="W660" s="81"/>
    </row>
    <row r="661" spans="10:23" ht="13">
      <c r="J661" s="122"/>
      <c r="K661" s="122"/>
      <c r="L661" s="87"/>
      <c r="N661" s="1"/>
      <c r="T661" s="122"/>
      <c r="U661" s="122"/>
      <c r="V661" s="79"/>
      <c r="W661" s="81"/>
    </row>
    <row r="662" spans="10:23" ht="13">
      <c r="J662" s="122"/>
      <c r="K662" s="122"/>
      <c r="L662" s="87"/>
      <c r="N662" s="1"/>
      <c r="T662" s="122"/>
      <c r="U662" s="122"/>
      <c r="V662" s="79"/>
      <c r="W662" s="81"/>
    </row>
    <row r="663" spans="10:23" ht="13">
      <c r="J663" s="122"/>
      <c r="K663" s="122"/>
      <c r="L663" s="87"/>
      <c r="N663" s="1"/>
      <c r="T663" s="122"/>
      <c r="U663" s="122"/>
      <c r="V663" s="79"/>
      <c r="W663" s="81"/>
    </row>
    <row r="664" spans="10:23" ht="13">
      <c r="J664" s="122"/>
      <c r="K664" s="122"/>
      <c r="L664" s="87"/>
      <c r="N664" s="1"/>
      <c r="T664" s="122"/>
      <c r="U664" s="122"/>
      <c r="V664" s="79"/>
      <c r="W664" s="81"/>
    </row>
    <row r="665" spans="10:23" ht="13">
      <c r="J665" s="122"/>
      <c r="K665" s="122"/>
      <c r="L665" s="87"/>
      <c r="N665" s="1"/>
      <c r="T665" s="122"/>
      <c r="U665" s="122"/>
      <c r="V665" s="79"/>
      <c r="W665" s="81"/>
    </row>
    <row r="666" spans="10:23" ht="13">
      <c r="J666" s="122"/>
      <c r="K666" s="122"/>
      <c r="L666" s="87"/>
      <c r="N666" s="1"/>
      <c r="T666" s="122"/>
      <c r="U666" s="122"/>
      <c r="V666" s="79"/>
      <c r="W666" s="81"/>
    </row>
    <row r="667" spans="10:23" ht="13">
      <c r="J667" s="122"/>
      <c r="K667" s="122"/>
      <c r="L667" s="87"/>
      <c r="N667" s="1"/>
      <c r="T667" s="122"/>
      <c r="U667" s="122"/>
      <c r="V667" s="79"/>
      <c r="W667" s="81"/>
    </row>
    <row r="668" spans="10:23" ht="13">
      <c r="J668" s="122"/>
      <c r="K668" s="122"/>
      <c r="L668" s="87"/>
      <c r="N668" s="1"/>
      <c r="T668" s="122"/>
      <c r="U668" s="122"/>
      <c r="V668" s="79"/>
      <c r="W668" s="81"/>
    </row>
    <row r="669" spans="10:23" ht="13">
      <c r="J669" s="122"/>
      <c r="K669" s="122"/>
      <c r="L669" s="87"/>
      <c r="N669" s="1"/>
      <c r="T669" s="122"/>
      <c r="U669" s="122"/>
      <c r="V669" s="79"/>
      <c r="W669" s="81"/>
    </row>
    <row r="670" spans="10:23" ht="13">
      <c r="J670" s="122"/>
      <c r="K670" s="122"/>
      <c r="L670" s="87"/>
      <c r="N670" s="1"/>
      <c r="T670" s="122"/>
      <c r="U670" s="122"/>
      <c r="V670" s="79"/>
      <c r="W670" s="81"/>
    </row>
    <row r="671" spans="10:23" ht="13">
      <c r="J671" s="122"/>
      <c r="K671" s="122"/>
      <c r="L671" s="87"/>
      <c r="N671" s="1"/>
      <c r="T671" s="122"/>
      <c r="U671" s="122"/>
      <c r="V671" s="79"/>
      <c r="W671" s="81"/>
    </row>
    <row r="672" spans="10:23" ht="13">
      <c r="J672" s="122"/>
      <c r="K672" s="122"/>
      <c r="L672" s="87"/>
      <c r="N672" s="1"/>
      <c r="T672" s="122"/>
      <c r="U672" s="122"/>
      <c r="V672" s="79"/>
      <c r="W672" s="81"/>
    </row>
    <row r="673" spans="10:23" ht="13">
      <c r="J673" s="122"/>
      <c r="K673" s="122"/>
      <c r="L673" s="87"/>
      <c r="N673" s="1"/>
      <c r="T673" s="122"/>
      <c r="U673" s="122"/>
      <c r="V673" s="79"/>
      <c r="W673" s="81"/>
    </row>
    <row r="674" spans="10:23" ht="13">
      <c r="J674" s="122"/>
      <c r="K674" s="122"/>
      <c r="L674" s="87"/>
      <c r="N674" s="1"/>
      <c r="T674" s="122"/>
      <c r="U674" s="122"/>
      <c r="V674" s="79"/>
      <c r="W674" s="81"/>
    </row>
    <row r="675" spans="10:23" ht="13">
      <c r="J675" s="122"/>
      <c r="K675" s="122"/>
      <c r="L675" s="87"/>
      <c r="N675" s="1"/>
      <c r="T675" s="122"/>
      <c r="U675" s="122"/>
      <c r="V675" s="79"/>
      <c r="W675" s="81"/>
    </row>
    <row r="676" spans="10:23" ht="13">
      <c r="J676" s="122"/>
      <c r="K676" s="122"/>
      <c r="L676" s="87"/>
      <c r="N676" s="1"/>
      <c r="T676" s="122"/>
      <c r="U676" s="122"/>
      <c r="V676" s="79"/>
      <c r="W676" s="81"/>
    </row>
    <row r="677" spans="10:23" ht="13">
      <c r="J677" s="122"/>
      <c r="K677" s="122"/>
      <c r="L677" s="87"/>
      <c r="N677" s="1"/>
      <c r="T677" s="122"/>
      <c r="U677" s="122"/>
      <c r="V677" s="79"/>
      <c r="W677" s="81"/>
    </row>
    <row r="678" spans="10:23" ht="13">
      <c r="J678" s="122"/>
      <c r="K678" s="122"/>
      <c r="L678" s="87"/>
      <c r="N678" s="1"/>
      <c r="T678" s="122"/>
      <c r="U678" s="122"/>
      <c r="V678" s="79"/>
      <c r="W678" s="81"/>
    </row>
    <row r="679" spans="10:23" ht="13">
      <c r="J679" s="122"/>
      <c r="K679" s="122"/>
      <c r="L679" s="87"/>
      <c r="N679" s="1"/>
      <c r="T679" s="122"/>
      <c r="U679" s="122"/>
      <c r="V679" s="79"/>
      <c r="W679" s="81"/>
    </row>
    <row r="680" spans="10:23" ht="13">
      <c r="J680" s="122"/>
      <c r="K680" s="122"/>
      <c r="L680" s="87"/>
      <c r="N680" s="1"/>
      <c r="T680" s="122"/>
      <c r="U680" s="122"/>
      <c r="V680" s="79"/>
      <c r="W680" s="81"/>
    </row>
    <row r="681" spans="10:23" ht="13">
      <c r="J681" s="122"/>
      <c r="K681" s="122"/>
      <c r="L681" s="87"/>
      <c r="N681" s="1"/>
      <c r="T681" s="122"/>
      <c r="U681" s="122"/>
      <c r="V681" s="79"/>
      <c r="W681" s="81"/>
    </row>
    <row r="682" spans="10:23" ht="13">
      <c r="J682" s="122"/>
      <c r="K682" s="122"/>
      <c r="L682" s="87"/>
      <c r="N682" s="1"/>
      <c r="T682" s="122"/>
      <c r="U682" s="122"/>
      <c r="V682" s="79"/>
      <c r="W682" s="81"/>
    </row>
    <row r="683" spans="10:23" ht="13">
      <c r="J683" s="122"/>
      <c r="K683" s="122"/>
      <c r="L683" s="87"/>
      <c r="N683" s="1"/>
      <c r="T683" s="122"/>
      <c r="U683" s="122"/>
      <c r="V683" s="79"/>
      <c r="W683" s="81"/>
    </row>
    <row r="684" spans="10:23" ht="13">
      <c r="J684" s="122"/>
      <c r="K684" s="122"/>
      <c r="L684" s="87"/>
      <c r="N684" s="1"/>
      <c r="T684" s="122"/>
      <c r="U684" s="122"/>
      <c r="V684" s="79"/>
      <c r="W684" s="81"/>
    </row>
    <row r="685" spans="10:23" ht="13">
      <c r="J685" s="122"/>
      <c r="K685" s="122"/>
      <c r="L685" s="87"/>
      <c r="N685" s="1"/>
      <c r="T685" s="122"/>
      <c r="U685" s="122"/>
      <c r="V685" s="79"/>
      <c r="W685" s="81"/>
    </row>
    <row r="686" spans="10:23" ht="13">
      <c r="J686" s="122"/>
      <c r="K686" s="122"/>
      <c r="L686" s="87"/>
      <c r="N686" s="1"/>
      <c r="T686" s="122"/>
      <c r="U686" s="122"/>
      <c r="V686" s="79"/>
      <c r="W686" s="81"/>
    </row>
    <row r="687" spans="10:23" ht="13">
      <c r="J687" s="122"/>
      <c r="K687" s="122"/>
      <c r="L687" s="87"/>
      <c r="N687" s="1"/>
      <c r="T687" s="122"/>
      <c r="U687" s="122"/>
      <c r="V687" s="79"/>
      <c r="W687" s="81"/>
    </row>
    <row r="688" spans="10:23" ht="13">
      <c r="J688" s="122"/>
      <c r="K688" s="122"/>
      <c r="L688" s="87"/>
      <c r="N688" s="1"/>
      <c r="T688" s="122"/>
      <c r="U688" s="122"/>
      <c r="V688" s="79"/>
      <c r="W688" s="81"/>
    </row>
    <row r="689" spans="10:23" ht="13">
      <c r="J689" s="122"/>
      <c r="K689" s="122"/>
      <c r="L689" s="87"/>
      <c r="N689" s="1"/>
      <c r="T689" s="122"/>
      <c r="U689" s="122"/>
      <c r="V689" s="79"/>
      <c r="W689" s="81"/>
    </row>
    <row r="690" spans="10:23" ht="13">
      <c r="J690" s="122"/>
      <c r="K690" s="122"/>
      <c r="L690" s="87"/>
      <c r="N690" s="1"/>
      <c r="T690" s="122"/>
      <c r="U690" s="122"/>
      <c r="V690" s="79"/>
      <c r="W690" s="81"/>
    </row>
    <row r="691" spans="10:23" ht="13">
      <c r="J691" s="122"/>
      <c r="K691" s="122"/>
      <c r="L691" s="87"/>
      <c r="N691" s="1"/>
      <c r="T691" s="122"/>
      <c r="U691" s="122"/>
      <c r="V691" s="79"/>
      <c r="W691" s="81"/>
    </row>
    <row r="692" spans="10:23" ht="13">
      <c r="J692" s="122"/>
      <c r="K692" s="122"/>
      <c r="L692" s="87"/>
      <c r="N692" s="1"/>
      <c r="T692" s="122"/>
      <c r="U692" s="122"/>
      <c r="V692" s="79"/>
      <c r="W692" s="81"/>
    </row>
    <row r="693" spans="10:23" ht="13">
      <c r="J693" s="122"/>
      <c r="K693" s="122"/>
      <c r="L693" s="87"/>
      <c r="N693" s="1"/>
      <c r="T693" s="122"/>
      <c r="U693" s="122"/>
      <c r="V693" s="79"/>
      <c r="W693" s="81"/>
    </row>
    <row r="694" spans="10:23" ht="13">
      <c r="J694" s="122"/>
      <c r="K694" s="122"/>
      <c r="L694" s="87"/>
      <c r="N694" s="1"/>
      <c r="T694" s="122"/>
      <c r="U694" s="122"/>
      <c r="V694" s="79"/>
      <c r="W694" s="81"/>
    </row>
    <row r="695" spans="10:23" ht="13">
      <c r="J695" s="122"/>
      <c r="K695" s="122"/>
      <c r="L695" s="87"/>
      <c r="N695" s="1"/>
      <c r="T695" s="122"/>
      <c r="U695" s="122"/>
      <c r="V695" s="79"/>
      <c r="W695" s="81"/>
    </row>
    <row r="696" spans="10:23" ht="13">
      <c r="J696" s="122"/>
      <c r="K696" s="122"/>
      <c r="L696" s="87"/>
      <c r="N696" s="1"/>
      <c r="T696" s="122"/>
      <c r="U696" s="122"/>
      <c r="V696" s="79"/>
      <c r="W696" s="81"/>
    </row>
    <row r="697" spans="10:23" ht="13">
      <c r="J697" s="122"/>
      <c r="K697" s="122"/>
      <c r="L697" s="87"/>
      <c r="N697" s="1"/>
      <c r="T697" s="122"/>
      <c r="U697" s="122"/>
      <c r="V697" s="79"/>
      <c r="W697" s="81"/>
    </row>
    <row r="698" spans="10:23" ht="13">
      <c r="J698" s="122"/>
      <c r="K698" s="122"/>
      <c r="L698" s="87"/>
      <c r="N698" s="1"/>
      <c r="T698" s="122"/>
      <c r="U698" s="122"/>
      <c r="V698" s="79"/>
      <c r="W698" s="81"/>
    </row>
    <row r="699" spans="10:23" ht="13">
      <c r="J699" s="122"/>
      <c r="K699" s="122"/>
      <c r="L699" s="87"/>
      <c r="N699" s="1"/>
      <c r="T699" s="122"/>
      <c r="U699" s="122"/>
      <c r="V699" s="79"/>
      <c r="W699" s="81"/>
    </row>
    <row r="700" spans="10:23" ht="13">
      <c r="J700" s="122"/>
      <c r="K700" s="122"/>
      <c r="L700" s="87"/>
      <c r="N700" s="1"/>
      <c r="T700" s="122"/>
      <c r="U700" s="122"/>
      <c r="V700" s="79"/>
      <c r="W700" s="81"/>
    </row>
    <row r="701" spans="10:23" ht="13">
      <c r="J701" s="122"/>
      <c r="K701" s="122"/>
      <c r="L701" s="87"/>
      <c r="N701" s="1"/>
      <c r="T701" s="122"/>
      <c r="U701" s="122"/>
      <c r="V701" s="79"/>
      <c r="W701" s="81"/>
    </row>
    <row r="702" spans="10:23" ht="13">
      <c r="J702" s="122"/>
      <c r="K702" s="122"/>
      <c r="L702" s="87"/>
      <c r="N702" s="1"/>
      <c r="T702" s="122"/>
      <c r="U702" s="122"/>
      <c r="V702" s="79"/>
      <c r="W702" s="81"/>
    </row>
    <row r="703" spans="10:23" ht="13">
      <c r="J703" s="122"/>
      <c r="K703" s="122"/>
      <c r="L703" s="87"/>
      <c r="N703" s="1"/>
      <c r="T703" s="122"/>
      <c r="U703" s="122"/>
      <c r="V703" s="79"/>
      <c r="W703" s="81"/>
    </row>
    <row r="704" spans="10:23" ht="13">
      <c r="J704" s="122"/>
      <c r="K704" s="122"/>
      <c r="L704" s="87"/>
      <c r="N704" s="1"/>
      <c r="T704" s="122"/>
      <c r="U704" s="122"/>
      <c r="V704" s="79"/>
      <c r="W704" s="81"/>
    </row>
    <row r="705" spans="10:23" ht="13">
      <c r="J705" s="122"/>
      <c r="K705" s="122"/>
      <c r="L705" s="87"/>
      <c r="N705" s="1"/>
      <c r="T705" s="122"/>
      <c r="U705" s="122"/>
      <c r="V705" s="79"/>
      <c r="W705" s="81"/>
    </row>
    <row r="706" spans="10:23" ht="13">
      <c r="J706" s="122"/>
      <c r="K706" s="122"/>
      <c r="L706" s="87"/>
      <c r="N706" s="1"/>
      <c r="T706" s="122"/>
      <c r="U706" s="122"/>
      <c r="V706" s="79"/>
      <c r="W706" s="81"/>
    </row>
    <row r="707" spans="10:23" ht="13">
      <c r="J707" s="122"/>
      <c r="K707" s="122"/>
      <c r="L707" s="87"/>
      <c r="N707" s="1"/>
      <c r="T707" s="122"/>
      <c r="U707" s="122"/>
      <c r="V707" s="79"/>
      <c r="W707" s="81"/>
    </row>
    <row r="708" spans="10:23" ht="13">
      <c r="J708" s="122"/>
      <c r="K708" s="122"/>
      <c r="L708" s="87"/>
      <c r="N708" s="1"/>
      <c r="T708" s="122"/>
      <c r="U708" s="122"/>
      <c r="V708" s="79"/>
      <c r="W708" s="81"/>
    </row>
    <row r="709" spans="10:23" ht="13">
      <c r="J709" s="122"/>
      <c r="K709" s="122"/>
      <c r="L709" s="87"/>
      <c r="N709" s="1"/>
      <c r="T709" s="122"/>
      <c r="U709" s="122"/>
      <c r="V709" s="79"/>
      <c r="W709" s="81"/>
    </row>
    <row r="710" spans="10:23" ht="13">
      <c r="J710" s="122"/>
      <c r="K710" s="122"/>
      <c r="L710" s="87"/>
      <c r="N710" s="1"/>
      <c r="T710" s="122"/>
      <c r="U710" s="122"/>
      <c r="V710" s="79"/>
      <c r="W710" s="81"/>
    </row>
    <row r="711" spans="10:23" ht="13">
      <c r="J711" s="122"/>
      <c r="K711" s="122"/>
      <c r="L711" s="87"/>
      <c r="N711" s="1"/>
      <c r="T711" s="122"/>
      <c r="U711" s="122"/>
      <c r="V711" s="79"/>
      <c r="W711" s="81"/>
    </row>
    <row r="712" spans="10:23" ht="13">
      <c r="J712" s="122"/>
      <c r="K712" s="122"/>
      <c r="L712" s="87"/>
      <c r="N712" s="1"/>
      <c r="T712" s="122"/>
      <c r="U712" s="122"/>
      <c r="V712" s="79"/>
      <c r="W712" s="81"/>
    </row>
    <row r="713" spans="10:23" ht="13">
      <c r="J713" s="122"/>
      <c r="K713" s="122"/>
      <c r="L713" s="87"/>
      <c r="N713" s="1"/>
      <c r="T713" s="122"/>
      <c r="U713" s="122"/>
      <c r="V713" s="79"/>
      <c r="W713" s="81"/>
    </row>
    <row r="714" spans="10:23" ht="13">
      <c r="J714" s="122"/>
      <c r="K714" s="122"/>
      <c r="L714" s="87"/>
      <c r="N714" s="1"/>
      <c r="T714" s="122"/>
      <c r="U714" s="122"/>
      <c r="V714" s="79"/>
      <c r="W714" s="81"/>
    </row>
    <row r="715" spans="10:23" ht="13">
      <c r="J715" s="122"/>
      <c r="K715" s="122"/>
      <c r="L715" s="87"/>
      <c r="N715" s="1"/>
      <c r="T715" s="122"/>
      <c r="U715" s="122"/>
      <c r="V715" s="79"/>
      <c r="W715" s="81"/>
    </row>
    <row r="716" spans="10:23" ht="13">
      <c r="J716" s="122"/>
      <c r="K716" s="122"/>
      <c r="L716" s="87"/>
      <c r="N716" s="1"/>
      <c r="T716" s="122"/>
      <c r="U716" s="122"/>
      <c r="V716" s="79"/>
      <c r="W716" s="81"/>
    </row>
    <row r="717" spans="10:23" ht="13">
      <c r="J717" s="122"/>
      <c r="K717" s="122"/>
      <c r="L717" s="87"/>
      <c r="N717" s="1"/>
      <c r="T717" s="122"/>
      <c r="U717" s="122"/>
      <c r="V717" s="79"/>
      <c r="W717" s="81"/>
    </row>
    <row r="718" spans="10:23" ht="13">
      <c r="J718" s="122"/>
      <c r="K718" s="122"/>
      <c r="L718" s="87"/>
      <c r="N718" s="1"/>
      <c r="T718" s="122"/>
      <c r="U718" s="122"/>
      <c r="V718" s="79"/>
      <c r="W718" s="81"/>
    </row>
    <row r="719" spans="10:23" ht="13">
      <c r="J719" s="122"/>
      <c r="K719" s="122"/>
      <c r="L719" s="87"/>
      <c r="N719" s="1"/>
      <c r="T719" s="122"/>
      <c r="U719" s="122"/>
      <c r="V719" s="79"/>
      <c r="W719" s="81"/>
    </row>
    <row r="720" spans="10:23" ht="13">
      <c r="J720" s="122"/>
      <c r="K720" s="122"/>
      <c r="L720" s="87"/>
      <c r="N720" s="1"/>
      <c r="T720" s="122"/>
      <c r="U720" s="122"/>
      <c r="V720" s="79"/>
      <c r="W720" s="81"/>
    </row>
    <row r="721" spans="10:23" ht="13">
      <c r="J721" s="122"/>
      <c r="K721" s="122"/>
      <c r="L721" s="87"/>
      <c r="N721" s="1"/>
      <c r="T721" s="122"/>
      <c r="U721" s="122"/>
      <c r="V721" s="79"/>
      <c r="W721" s="81"/>
    </row>
    <row r="722" spans="10:23" ht="13">
      <c r="J722" s="122"/>
      <c r="K722" s="122"/>
      <c r="L722" s="87"/>
      <c r="N722" s="1"/>
      <c r="T722" s="122"/>
      <c r="U722" s="122"/>
      <c r="V722" s="79"/>
      <c r="W722" s="81"/>
    </row>
    <row r="723" spans="10:23" ht="13">
      <c r="J723" s="122"/>
      <c r="K723" s="122"/>
      <c r="L723" s="87"/>
      <c r="N723" s="1"/>
      <c r="T723" s="122"/>
      <c r="U723" s="122"/>
      <c r="V723" s="79"/>
      <c r="W723" s="81"/>
    </row>
    <row r="724" spans="10:23" ht="13">
      <c r="J724" s="122"/>
      <c r="K724" s="122"/>
      <c r="L724" s="87"/>
      <c r="N724" s="1"/>
      <c r="T724" s="122"/>
      <c r="U724" s="122"/>
      <c r="V724" s="79"/>
      <c r="W724" s="81"/>
    </row>
    <row r="725" spans="10:23" ht="13">
      <c r="J725" s="122"/>
      <c r="K725" s="122"/>
      <c r="L725" s="87"/>
      <c r="N725" s="1"/>
      <c r="T725" s="122"/>
      <c r="U725" s="122"/>
      <c r="V725" s="79"/>
      <c r="W725" s="81"/>
    </row>
    <row r="726" spans="10:23" ht="13">
      <c r="J726" s="122"/>
      <c r="K726" s="122"/>
      <c r="L726" s="87"/>
      <c r="N726" s="1"/>
      <c r="T726" s="122"/>
      <c r="U726" s="122"/>
      <c r="V726" s="79"/>
      <c r="W726" s="81"/>
    </row>
    <row r="727" spans="10:23" ht="13">
      <c r="J727" s="122"/>
      <c r="K727" s="122"/>
      <c r="L727" s="87"/>
      <c r="N727" s="1"/>
      <c r="T727" s="122"/>
      <c r="U727" s="122"/>
      <c r="V727" s="79"/>
      <c r="W727" s="81"/>
    </row>
    <row r="728" spans="10:23" ht="13">
      <c r="J728" s="122"/>
      <c r="K728" s="122"/>
      <c r="L728" s="87"/>
      <c r="N728" s="1"/>
      <c r="T728" s="122"/>
      <c r="U728" s="122"/>
      <c r="V728" s="79"/>
      <c r="W728" s="81"/>
    </row>
    <row r="729" spans="10:23" ht="13">
      <c r="J729" s="122"/>
      <c r="K729" s="122"/>
      <c r="L729" s="87"/>
      <c r="N729" s="1"/>
      <c r="T729" s="122"/>
      <c r="U729" s="122"/>
      <c r="V729" s="79"/>
      <c r="W729" s="81"/>
    </row>
    <row r="730" spans="10:23" ht="13">
      <c r="J730" s="122"/>
      <c r="K730" s="122"/>
      <c r="L730" s="87"/>
      <c r="N730" s="1"/>
      <c r="T730" s="122"/>
      <c r="U730" s="122"/>
      <c r="V730" s="79"/>
      <c r="W730" s="81"/>
    </row>
    <row r="731" spans="10:23" ht="13">
      <c r="J731" s="122"/>
      <c r="K731" s="122"/>
      <c r="L731" s="87"/>
      <c r="N731" s="1"/>
      <c r="T731" s="122"/>
      <c r="U731" s="122"/>
      <c r="V731" s="79"/>
      <c r="W731" s="81"/>
    </row>
    <row r="732" spans="10:23" ht="13">
      <c r="J732" s="122"/>
      <c r="K732" s="122"/>
      <c r="L732" s="87"/>
      <c r="N732" s="1"/>
      <c r="T732" s="122"/>
      <c r="U732" s="122"/>
      <c r="V732" s="79"/>
      <c r="W732" s="81"/>
    </row>
    <row r="733" spans="10:23" ht="13">
      <c r="J733" s="122"/>
      <c r="K733" s="122"/>
      <c r="L733" s="87"/>
      <c r="N733" s="1"/>
      <c r="T733" s="122"/>
      <c r="U733" s="122"/>
      <c r="V733" s="79"/>
      <c r="W733" s="81"/>
    </row>
    <row r="734" spans="10:23" ht="13">
      <c r="J734" s="122"/>
      <c r="K734" s="122"/>
      <c r="L734" s="87"/>
      <c r="N734" s="1"/>
      <c r="T734" s="122"/>
      <c r="U734" s="122"/>
      <c r="V734" s="79"/>
      <c r="W734" s="81"/>
    </row>
    <row r="735" spans="10:23" ht="13">
      <c r="J735" s="122"/>
      <c r="K735" s="122"/>
      <c r="L735" s="87"/>
      <c r="N735" s="1"/>
      <c r="T735" s="122"/>
      <c r="U735" s="122"/>
      <c r="V735" s="79"/>
      <c r="W735" s="81"/>
    </row>
    <row r="736" spans="10:23" ht="13">
      <c r="J736" s="122"/>
      <c r="K736" s="122"/>
      <c r="L736" s="87"/>
      <c r="N736" s="1"/>
      <c r="T736" s="122"/>
      <c r="U736" s="122"/>
      <c r="V736" s="79"/>
      <c r="W736" s="81"/>
    </row>
    <row r="737" spans="10:23" ht="13">
      <c r="J737" s="122"/>
      <c r="K737" s="122"/>
      <c r="L737" s="87"/>
      <c r="N737" s="1"/>
      <c r="T737" s="122"/>
      <c r="U737" s="122"/>
      <c r="V737" s="79"/>
      <c r="W737" s="81"/>
    </row>
    <row r="738" spans="10:23" ht="13">
      <c r="J738" s="122"/>
      <c r="K738" s="122"/>
      <c r="L738" s="87"/>
      <c r="N738" s="1"/>
      <c r="T738" s="122"/>
      <c r="U738" s="122"/>
      <c r="V738" s="79"/>
      <c r="W738" s="81"/>
    </row>
    <row r="739" spans="10:23" ht="13">
      <c r="J739" s="122"/>
      <c r="K739" s="122"/>
      <c r="L739" s="87"/>
      <c r="N739" s="1"/>
      <c r="T739" s="122"/>
      <c r="U739" s="122"/>
      <c r="V739" s="79"/>
      <c r="W739" s="81"/>
    </row>
    <row r="740" spans="10:23" ht="13">
      <c r="J740" s="122"/>
      <c r="K740" s="122"/>
      <c r="L740" s="87"/>
      <c r="N740" s="1"/>
      <c r="T740" s="122"/>
      <c r="U740" s="122"/>
      <c r="V740" s="79"/>
      <c r="W740" s="81"/>
    </row>
    <row r="741" spans="10:23" ht="13">
      <c r="J741" s="122"/>
      <c r="K741" s="122"/>
      <c r="L741" s="87"/>
      <c r="N741" s="1"/>
      <c r="T741" s="122"/>
      <c r="U741" s="122"/>
      <c r="V741" s="79"/>
      <c r="W741" s="81"/>
    </row>
    <row r="742" spans="10:23" ht="13">
      <c r="J742" s="122"/>
      <c r="K742" s="122"/>
      <c r="L742" s="87"/>
      <c r="N742" s="1"/>
      <c r="T742" s="122"/>
      <c r="U742" s="122"/>
      <c r="V742" s="79"/>
      <c r="W742" s="81"/>
    </row>
    <row r="743" spans="10:23" ht="13">
      <c r="J743" s="122"/>
      <c r="K743" s="122"/>
      <c r="L743" s="87"/>
      <c r="N743" s="1"/>
      <c r="T743" s="122"/>
      <c r="U743" s="122"/>
      <c r="V743" s="79"/>
      <c r="W743" s="81"/>
    </row>
    <row r="744" spans="10:23" ht="13">
      <c r="J744" s="122"/>
      <c r="K744" s="122"/>
      <c r="L744" s="87"/>
      <c r="N744" s="1"/>
      <c r="T744" s="122"/>
      <c r="U744" s="122"/>
      <c r="V744" s="79"/>
      <c r="W744" s="81"/>
    </row>
    <row r="745" spans="10:23" ht="13">
      <c r="J745" s="122"/>
      <c r="K745" s="122"/>
      <c r="L745" s="87"/>
      <c r="N745" s="1"/>
      <c r="T745" s="122"/>
      <c r="U745" s="122"/>
      <c r="V745" s="79"/>
      <c r="W745" s="81"/>
    </row>
    <row r="746" spans="10:23" ht="13">
      <c r="J746" s="122"/>
      <c r="K746" s="122"/>
      <c r="L746" s="87"/>
      <c r="N746" s="1"/>
      <c r="T746" s="122"/>
      <c r="U746" s="122"/>
      <c r="V746" s="79"/>
      <c r="W746" s="81"/>
    </row>
    <row r="747" spans="10:23" ht="13">
      <c r="J747" s="122"/>
      <c r="K747" s="122"/>
      <c r="L747" s="87"/>
      <c r="N747" s="1"/>
      <c r="T747" s="122"/>
      <c r="U747" s="122"/>
      <c r="V747" s="79"/>
      <c r="W747" s="81"/>
    </row>
    <row r="748" spans="10:23" ht="13">
      <c r="J748" s="122"/>
      <c r="K748" s="122"/>
      <c r="L748" s="87"/>
      <c r="N748" s="1"/>
      <c r="T748" s="122"/>
      <c r="U748" s="122"/>
      <c r="V748" s="79"/>
      <c r="W748" s="81"/>
    </row>
    <row r="749" spans="10:23" ht="13">
      <c r="J749" s="122"/>
      <c r="K749" s="122"/>
      <c r="L749" s="87"/>
      <c r="N749" s="1"/>
      <c r="T749" s="122"/>
      <c r="U749" s="122"/>
      <c r="V749" s="79"/>
      <c r="W749" s="81"/>
    </row>
    <row r="750" spans="10:23" ht="13">
      <c r="J750" s="122"/>
      <c r="K750" s="122"/>
      <c r="L750" s="87"/>
      <c r="N750" s="1"/>
      <c r="T750" s="122"/>
      <c r="U750" s="122"/>
      <c r="V750" s="79"/>
      <c r="W750" s="81"/>
    </row>
    <row r="751" spans="10:23" ht="13">
      <c r="J751" s="122"/>
      <c r="K751" s="122"/>
      <c r="L751" s="87"/>
      <c r="N751" s="1"/>
      <c r="T751" s="122"/>
      <c r="U751" s="122"/>
      <c r="V751" s="79"/>
      <c r="W751" s="81"/>
    </row>
    <row r="752" spans="10:23" ht="13">
      <c r="J752" s="122"/>
      <c r="K752" s="122"/>
      <c r="L752" s="87"/>
      <c r="N752" s="1"/>
      <c r="T752" s="122"/>
      <c r="U752" s="122"/>
      <c r="V752" s="79"/>
      <c r="W752" s="81"/>
    </row>
    <row r="753" spans="10:23" ht="13">
      <c r="J753" s="122"/>
      <c r="K753" s="122"/>
      <c r="L753" s="87"/>
      <c r="N753" s="1"/>
      <c r="T753" s="122"/>
      <c r="U753" s="122"/>
      <c r="V753" s="79"/>
      <c r="W753" s="81"/>
    </row>
    <row r="754" spans="10:23" ht="13">
      <c r="J754" s="122"/>
      <c r="K754" s="122"/>
      <c r="L754" s="87"/>
      <c r="N754" s="1"/>
      <c r="T754" s="122"/>
      <c r="U754" s="122"/>
      <c r="V754" s="79"/>
      <c r="W754" s="81"/>
    </row>
    <row r="755" spans="10:23" ht="13">
      <c r="J755" s="122"/>
      <c r="K755" s="122"/>
      <c r="L755" s="87"/>
      <c r="N755" s="1"/>
      <c r="T755" s="122"/>
      <c r="U755" s="122"/>
      <c r="V755" s="79"/>
      <c r="W755" s="81"/>
    </row>
    <row r="756" spans="10:23" ht="13">
      <c r="J756" s="122"/>
      <c r="K756" s="122"/>
      <c r="L756" s="87"/>
      <c r="N756" s="1"/>
      <c r="T756" s="122"/>
      <c r="U756" s="122"/>
      <c r="V756" s="79"/>
      <c r="W756" s="81"/>
    </row>
    <row r="757" spans="10:23" ht="13">
      <c r="J757" s="122"/>
      <c r="K757" s="122"/>
      <c r="L757" s="87"/>
      <c r="N757" s="1"/>
      <c r="T757" s="122"/>
      <c r="U757" s="122"/>
      <c r="V757" s="79"/>
      <c r="W757" s="81"/>
    </row>
    <row r="758" spans="10:23" ht="13">
      <c r="J758" s="122"/>
      <c r="K758" s="122"/>
      <c r="L758" s="87"/>
      <c r="N758" s="1"/>
      <c r="T758" s="122"/>
      <c r="U758" s="122"/>
      <c r="V758" s="79"/>
      <c r="W758" s="81"/>
    </row>
    <row r="759" spans="10:23" ht="13">
      <c r="J759" s="122"/>
      <c r="K759" s="122"/>
      <c r="L759" s="87"/>
      <c r="N759" s="1"/>
      <c r="T759" s="122"/>
      <c r="U759" s="122"/>
      <c r="V759" s="79"/>
      <c r="W759" s="81"/>
    </row>
    <row r="760" spans="10:23" ht="13">
      <c r="J760" s="122"/>
      <c r="K760" s="122"/>
      <c r="L760" s="87"/>
      <c r="N760" s="1"/>
      <c r="T760" s="122"/>
      <c r="U760" s="122"/>
      <c r="V760" s="79"/>
      <c r="W760" s="81"/>
    </row>
    <row r="761" spans="10:23" ht="13">
      <c r="J761" s="122"/>
      <c r="K761" s="122"/>
      <c r="L761" s="87"/>
      <c r="N761" s="1"/>
      <c r="T761" s="122"/>
      <c r="U761" s="122"/>
      <c r="V761" s="79"/>
      <c r="W761" s="81"/>
    </row>
    <row r="762" spans="10:23" ht="13">
      <c r="J762" s="122"/>
      <c r="K762" s="122"/>
      <c r="L762" s="87"/>
      <c r="N762" s="1"/>
      <c r="T762" s="122"/>
      <c r="U762" s="122"/>
      <c r="V762" s="79"/>
      <c r="W762" s="81"/>
    </row>
    <row r="763" spans="10:23" ht="13">
      <c r="J763" s="122"/>
      <c r="K763" s="122"/>
      <c r="L763" s="87"/>
      <c r="N763" s="1"/>
      <c r="T763" s="122"/>
      <c r="U763" s="122"/>
      <c r="V763" s="79"/>
      <c r="W763" s="81"/>
    </row>
    <row r="764" spans="10:23" ht="13">
      <c r="J764" s="122"/>
      <c r="K764" s="122"/>
      <c r="L764" s="87"/>
      <c r="N764" s="1"/>
      <c r="T764" s="122"/>
      <c r="U764" s="122"/>
      <c r="V764" s="79"/>
      <c r="W764" s="81"/>
    </row>
    <row r="765" spans="10:23" ht="13">
      <c r="J765" s="122"/>
      <c r="K765" s="122"/>
      <c r="L765" s="87"/>
      <c r="N765" s="1"/>
      <c r="T765" s="122"/>
      <c r="U765" s="122"/>
      <c r="V765" s="79"/>
      <c r="W765" s="81"/>
    </row>
    <row r="766" spans="10:23" ht="13">
      <c r="J766" s="122"/>
      <c r="K766" s="122"/>
      <c r="L766" s="87"/>
      <c r="N766" s="1"/>
      <c r="T766" s="122"/>
      <c r="U766" s="122"/>
      <c r="V766" s="79"/>
      <c r="W766" s="81"/>
    </row>
    <row r="767" spans="10:23" ht="13">
      <c r="J767" s="122"/>
      <c r="K767" s="122"/>
      <c r="L767" s="87"/>
      <c r="N767" s="1"/>
      <c r="T767" s="122"/>
      <c r="U767" s="122"/>
      <c r="V767" s="79"/>
      <c r="W767" s="81"/>
    </row>
    <row r="768" spans="10:23" ht="13">
      <c r="J768" s="122"/>
      <c r="K768" s="122"/>
      <c r="L768" s="87"/>
      <c r="N768" s="1"/>
      <c r="T768" s="122"/>
      <c r="U768" s="122"/>
      <c r="V768" s="79"/>
      <c r="W768" s="81"/>
    </row>
    <row r="769" spans="10:23" ht="13">
      <c r="J769" s="122"/>
      <c r="K769" s="122"/>
      <c r="L769" s="87"/>
      <c r="N769" s="1"/>
      <c r="T769" s="122"/>
      <c r="U769" s="122"/>
      <c r="V769" s="79"/>
      <c r="W769" s="81"/>
    </row>
    <row r="770" spans="10:23" ht="13">
      <c r="J770" s="122"/>
      <c r="K770" s="122"/>
      <c r="L770" s="87"/>
      <c r="N770" s="1"/>
      <c r="T770" s="122"/>
      <c r="U770" s="122"/>
      <c r="V770" s="79"/>
      <c r="W770" s="81"/>
    </row>
    <row r="771" spans="10:23" ht="13">
      <c r="J771" s="122"/>
      <c r="K771" s="122"/>
      <c r="L771" s="87"/>
      <c r="N771" s="1"/>
      <c r="T771" s="122"/>
      <c r="U771" s="122"/>
      <c r="V771" s="79"/>
      <c r="W771" s="81"/>
    </row>
    <row r="772" spans="10:23" ht="13">
      <c r="J772" s="122"/>
      <c r="K772" s="122"/>
      <c r="L772" s="87"/>
      <c r="N772" s="1"/>
      <c r="T772" s="122"/>
      <c r="U772" s="122"/>
      <c r="V772" s="79"/>
      <c r="W772" s="81"/>
    </row>
    <row r="773" spans="10:23" ht="13">
      <c r="J773" s="122"/>
      <c r="K773" s="122"/>
      <c r="L773" s="87"/>
      <c r="N773" s="1"/>
      <c r="T773" s="122"/>
      <c r="U773" s="122"/>
      <c r="V773" s="79"/>
      <c r="W773" s="81"/>
    </row>
    <row r="774" spans="10:23" ht="13">
      <c r="J774" s="122"/>
      <c r="K774" s="122"/>
      <c r="L774" s="87"/>
      <c r="N774" s="1"/>
      <c r="T774" s="122"/>
      <c r="U774" s="122"/>
      <c r="V774" s="79"/>
      <c r="W774" s="81"/>
    </row>
    <row r="775" spans="10:23" ht="13">
      <c r="J775" s="122"/>
      <c r="K775" s="122"/>
      <c r="L775" s="87"/>
      <c r="N775" s="1"/>
      <c r="T775" s="122"/>
      <c r="U775" s="122"/>
      <c r="V775" s="79"/>
      <c r="W775" s="81"/>
    </row>
    <row r="776" spans="10:23" ht="13">
      <c r="J776" s="122"/>
      <c r="K776" s="122"/>
      <c r="L776" s="87"/>
      <c r="N776" s="1"/>
      <c r="T776" s="122"/>
      <c r="U776" s="122"/>
      <c r="V776" s="79"/>
      <c r="W776" s="81"/>
    </row>
    <row r="777" spans="10:23" ht="13">
      <c r="J777" s="122"/>
      <c r="K777" s="122"/>
      <c r="L777" s="87"/>
      <c r="N777" s="1"/>
      <c r="T777" s="122"/>
      <c r="U777" s="122"/>
      <c r="V777" s="79"/>
      <c r="W777" s="81"/>
    </row>
    <row r="778" spans="10:23" ht="13">
      <c r="J778" s="122"/>
      <c r="K778" s="122"/>
      <c r="L778" s="87"/>
      <c r="N778" s="1"/>
      <c r="T778" s="122"/>
      <c r="U778" s="122"/>
      <c r="V778" s="79"/>
      <c r="W778" s="81"/>
    </row>
    <row r="779" spans="10:23" ht="13">
      <c r="J779" s="122"/>
      <c r="K779" s="122"/>
      <c r="L779" s="87"/>
      <c r="N779" s="1"/>
      <c r="T779" s="122"/>
      <c r="U779" s="122"/>
      <c r="V779" s="79"/>
      <c r="W779" s="81"/>
    </row>
    <row r="780" spans="10:23" ht="13">
      <c r="J780" s="122"/>
      <c r="K780" s="122"/>
      <c r="L780" s="87"/>
      <c r="N780" s="1"/>
      <c r="T780" s="122"/>
      <c r="U780" s="122"/>
      <c r="V780" s="79"/>
      <c r="W780" s="81"/>
    </row>
    <row r="781" spans="10:23" ht="13">
      <c r="J781" s="122"/>
      <c r="K781" s="122"/>
      <c r="L781" s="87"/>
      <c r="N781" s="1"/>
      <c r="T781" s="122"/>
      <c r="U781" s="122"/>
      <c r="V781" s="79"/>
      <c r="W781" s="81"/>
    </row>
    <row r="782" spans="10:23" ht="13">
      <c r="J782" s="122"/>
      <c r="K782" s="122"/>
      <c r="L782" s="87"/>
      <c r="N782" s="1"/>
      <c r="T782" s="122"/>
      <c r="U782" s="122"/>
      <c r="V782" s="79"/>
      <c r="W782" s="81"/>
    </row>
    <row r="783" spans="10:23" ht="13">
      <c r="J783" s="122"/>
      <c r="K783" s="122"/>
      <c r="L783" s="87"/>
      <c r="N783" s="1"/>
      <c r="T783" s="122"/>
      <c r="U783" s="122"/>
      <c r="V783" s="79"/>
      <c r="W783" s="81"/>
    </row>
    <row r="784" spans="10:23" ht="13">
      <c r="J784" s="122"/>
      <c r="K784" s="122"/>
      <c r="L784" s="87"/>
      <c r="N784" s="1"/>
      <c r="T784" s="122"/>
      <c r="U784" s="122"/>
      <c r="V784" s="79"/>
      <c r="W784" s="81"/>
    </row>
    <row r="785" spans="10:23" ht="13">
      <c r="J785" s="122"/>
      <c r="K785" s="122"/>
      <c r="L785" s="87"/>
      <c r="N785" s="1"/>
      <c r="T785" s="122"/>
      <c r="U785" s="122"/>
      <c r="V785" s="79"/>
      <c r="W785" s="81"/>
    </row>
    <row r="786" spans="10:23" ht="13">
      <c r="J786" s="122"/>
      <c r="K786" s="122"/>
      <c r="L786" s="87"/>
      <c r="N786" s="1"/>
      <c r="T786" s="122"/>
      <c r="U786" s="122"/>
      <c r="V786" s="79"/>
      <c r="W786" s="81"/>
    </row>
    <row r="787" spans="10:23" ht="13">
      <c r="J787" s="122"/>
      <c r="K787" s="122"/>
      <c r="L787" s="87"/>
      <c r="N787" s="1"/>
      <c r="T787" s="122"/>
      <c r="U787" s="122"/>
      <c r="V787" s="79"/>
      <c r="W787" s="81"/>
    </row>
    <row r="788" spans="10:23" ht="13">
      <c r="J788" s="122"/>
      <c r="K788" s="122"/>
      <c r="L788" s="87"/>
      <c r="N788" s="1"/>
      <c r="T788" s="122"/>
      <c r="U788" s="122"/>
      <c r="V788" s="79"/>
      <c r="W788" s="81"/>
    </row>
    <row r="789" spans="10:23" ht="13">
      <c r="J789" s="122"/>
      <c r="K789" s="122"/>
      <c r="L789" s="87"/>
      <c r="N789" s="1"/>
      <c r="T789" s="122"/>
      <c r="U789" s="122"/>
      <c r="V789" s="79"/>
      <c r="W789" s="81"/>
    </row>
    <row r="790" spans="10:23" ht="13">
      <c r="J790" s="122"/>
      <c r="K790" s="122"/>
      <c r="L790" s="87"/>
      <c r="N790" s="1"/>
      <c r="T790" s="122"/>
      <c r="U790" s="122"/>
      <c r="V790" s="79"/>
      <c r="W790" s="81"/>
    </row>
    <row r="791" spans="10:23" ht="13">
      <c r="J791" s="122"/>
      <c r="K791" s="122"/>
      <c r="L791" s="87"/>
      <c r="N791" s="1"/>
      <c r="T791" s="122"/>
      <c r="U791" s="122"/>
      <c r="V791" s="79"/>
      <c r="W791" s="81"/>
    </row>
    <row r="792" spans="10:23" ht="13">
      <c r="J792" s="122"/>
      <c r="K792" s="122"/>
      <c r="L792" s="87"/>
      <c r="N792" s="1"/>
      <c r="T792" s="122"/>
      <c r="U792" s="122"/>
      <c r="V792" s="79"/>
      <c r="W792" s="81"/>
    </row>
    <row r="793" spans="10:23" ht="13">
      <c r="J793" s="122"/>
      <c r="K793" s="122"/>
      <c r="L793" s="87"/>
      <c r="N793" s="1"/>
      <c r="T793" s="122"/>
      <c r="U793" s="122"/>
      <c r="V793" s="79"/>
      <c r="W793" s="81"/>
    </row>
    <row r="794" spans="10:23" ht="13">
      <c r="J794" s="122"/>
      <c r="K794" s="122"/>
      <c r="L794" s="87"/>
      <c r="N794" s="1"/>
      <c r="T794" s="122"/>
      <c r="U794" s="122"/>
      <c r="V794" s="79"/>
      <c r="W794" s="81"/>
    </row>
    <row r="795" spans="10:23" ht="13">
      <c r="J795" s="122"/>
      <c r="K795" s="122"/>
      <c r="L795" s="87"/>
      <c r="N795" s="1"/>
      <c r="T795" s="122"/>
      <c r="U795" s="122"/>
      <c r="V795" s="79"/>
      <c r="W795" s="81"/>
    </row>
    <row r="796" spans="10:23" ht="13">
      <c r="J796" s="122"/>
      <c r="K796" s="122"/>
      <c r="L796" s="87"/>
      <c r="N796" s="1"/>
      <c r="T796" s="122"/>
      <c r="U796" s="122"/>
      <c r="V796" s="79"/>
      <c r="W796" s="81"/>
    </row>
    <row r="797" spans="10:23" ht="13">
      <c r="J797" s="122"/>
      <c r="K797" s="122"/>
      <c r="L797" s="87"/>
      <c r="N797" s="1"/>
      <c r="T797" s="122"/>
      <c r="U797" s="122"/>
      <c r="V797" s="79"/>
      <c r="W797" s="81"/>
    </row>
    <row r="798" spans="10:23" ht="13">
      <c r="J798" s="122"/>
      <c r="K798" s="122"/>
      <c r="L798" s="87"/>
      <c r="N798" s="1"/>
      <c r="T798" s="122"/>
      <c r="U798" s="122"/>
      <c r="V798" s="79"/>
      <c r="W798" s="81"/>
    </row>
    <row r="799" spans="10:23" ht="13">
      <c r="J799" s="122"/>
      <c r="K799" s="122"/>
      <c r="L799" s="87"/>
      <c r="N799" s="1"/>
      <c r="T799" s="122"/>
      <c r="U799" s="122"/>
      <c r="V799" s="79"/>
      <c r="W799" s="81"/>
    </row>
    <row r="800" spans="10:23" ht="13">
      <c r="J800" s="122"/>
      <c r="K800" s="122"/>
      <c r="L800" s="87"/>
      <c r="N800" s="1"/>
      <c r="T800" s="122"/>
      <c r="U800" s="122"/>
      <c r="V800" s="79"/>
      <c r="W800" s="81"/>
    </row>
    <row r="801" spans="10:23" ht="13">
      <c r="J801" s="122"/>
      <c r="K801" s="122"/>
      <c r="L801" s="87"/>
      <c r="N801" s="1"/>
      <c r="T801" s="122"/>
      <c r="U801" s="122"/>
      <c r="V801" s="79"/>
      <c r="W801" s="81"/>
    </row>
    <row r="802" spans="10:23" ht="13">
      <c r="J802" s="122"/>
      <c r="K802" s="122"/>
      <c r="L802" s="87"/>
      <c r="N802" s="1"/>
      <c r="T802" s="122"/>
      <c r="U802" s="122"/>
      <c r="V802" s="79"/>
      <c r="W802" s="81"/>
    </row>
    <row r="803" spans="10:23" ht="13">
      <c r="J803" s="122"/>
      <c r="K803" s="122"/>
      <c r="L803" s="87"/>
      <c r="N803" s="1"/>
      <c r="T803" s="122"/>
      <c r="U803" s="122"/>
      <c r="V803" s="79"/>
      <c r="W803" s="81"/>
    </row>
    <row r="804" spans="10:23" ht="13">
      <c r="J804" s="122"/>
      <c r="K804" s="122"/>
      <c r="L804" s="87"/>
      <c r="N804" s="1"/>
      <c r="T804" s="122"/>
      <c r="U804" s="122"/>
      <c r="V804" s="79"/>
      <c r="W804" s="81"/>
    </row>
    <row r="805" spans="10:23" ht="13">
      <c r="J805" s="122"/>
      <c r="K805" s="122"/>
      <c r="L805" s="87"/>
      <c r="N805" s="1"/>
      <c r="T805" s="122"/>
      <c r="U805" s="122"/>
      <c r="V805" s="79"/>
      <c r="W805" s="81"/>
    </row>
    <row r="806" spans="10:23" ht="13">
      <c r="J806" s="122"/>
      <c r="K806" s="122"/>
      <c r="L806" s="87"/>
      <c r="N806" s="1"/>
      <c r="T806" s="122"/>
      <c r="U806" s="122"/>
      <c r="V806" s="79"/>
      <c r="W806" s="81"/>
    </row>
    <row r="807" spans="10:23" ht="13">
      <c r="J807" s="122"/>
      <c r="K807" s="122"/>
      <c r="L807" s="87"/>
      <c r="N807" s="1"/>
      <c r="T807" s="122"/>
      <c r="U807" s="122"/>
      <c r="V807" s="79"/>
      <c r="W807" s="81"/>
    </row>
    <row r="808" spans="10:23" ht="13">
      <c r="J808" s="122"/>
      <c r="K808" s="122"/>
      <c r="L808" s="87"/>
      <c r="N808" s="1"/>
      <c r="T808" s="122"/>
      <c r="U808" s="122"/>
      <c r="V808" s="79"/>
      <c r="W808" s="81"/>
    </row>
    <row r="809" spans="10:23" ht="13">
      <c r="J809" s="122"/>
      <c r="K809" s="122"/>
      <c r="L809" s="87"/>
      <c r="N809" s="1"/>
      <c r="T809" s="122"/>
      <c r="U809" s="122"/>
      <c r="V809" s="79"/>
      <c r="W809" s="81"/>
    </row>
    <row r="810" spans="10:23" ht="13">
      <c r="J810" s="122"/>
      <c r="K810" s="122"/>
      <c r="L810" s="87"/>
      <c r="N810" s="1"/>
      <c r="T810" s="122"/>
      <c r="U810" s="122"/>
      <c r="V810" s="79"/>
      <c r="W810" s="81"/>
    </row>
    <row r="811" spans="10:23" ht="13">
      <c r="J811" s="122"/>
      <c r="K811" s="122"/>
      <c r="L811" s="87"/>
      <c r="N811" s="1"/>
      <c r="T811" s="122"/>
      <c r="U811" s="122"/>
      <c r="V811" s="79"/>
      <c r="W811" s="81"/>
    </row>
    <row r="812" spans="10:23" ht="13">
      <c r="J812" s="122"/>
      <c r="K812" s="122"/>
      <c r="L812" s="87"/>
      <c r="N812" s="1"/>
      <c r="T812" s="122"/>
      <c r="U812" s="122"/>
      <c r="V812" s="79"/>
      <c r="W812" s="81"/>
    </row>
    <row r="813" spans="10:23" ht="13">
      <c r="J813" s="122"/>
      <c r="K813" s="122"/>
      <c r="L813" s="87"/>
      <c r="N813" s="1"/>
      <c r="T813" s="122"/>
      <c r="U813" s="122"/>
      <c r="V813" s="79"/>
      <c r="W813" s="81"/>
    </row>
    <row r="814" spans="10:23" ht="13">
      <c r="J814" s="122"/>
      <c r="K814" s="122"/>
      <c r="L814" s="87"/>
      <c r="N814" s="1"/>
      <c r="T814" s="122"/>
      <c r="U814" s="122"/>
      <c r="V814" s="79"/>
      <c r="W814" s="81"/>
    </row>
    <row r="815" spans="10:23" ht="13">
      <c r="J815" s="122"/>
      <c r="K815" s="122"/>
      <c r="L815" s="87"/>
      <c r="N815" s="1"/>
      <c r="T815" s="122"/>
      <c r="U815" s="122"/>
      <c r="V815" s="79"/>
      <c r="W815" s="81"/>
    </row>
    <row r="816" spans="10:23" ht="13">
      <c r="J816" s="122"/>
      <c r="K816" s="122"/>
      <c r="L816" s="87"/>
      <c r="N816" s="1"/>
      <c r="T816" s="122"/>
      <c r="U816" s="122"/>
      <c r="V816" s="79"/>
      <c r="W816" s="81"/>
    </row>
    <row r="817" spans="10:23" ht="13">
      <c r="J817" s="122"/>
      <c r="K817" s="122"/>
      <c r="L817" s="87"/>
      <c r="N817" s="1"/>
      <c r="T817" s="122"/>
      <c r="U817" s="122"/>
      <c r="V817" s="79"/>
      <c r="W817" s="81"/>
    </row>
    <row r="818" spans="10:23" ht="13">
      <c r="J818" s="122"/>
      <c r="K818" s="122"/>
      <c r="L818" s="87"/>
      <c r="N818" s="1"/>
      <c r="T818" s="122"/>
      <c r="U818" s="122"/>
      <c r="V818" s="79"/>
      <c r="W818" s="81"/>
    </row>
    <row r="819" spans="10:23" ht="13">
      <c r="J819" s="122"/>
      <c r="K819" s="122"/>
      <c r="L819" s="87"/>
      <c r="N819" s="1"/>
      <c r="T819" s="122"/>
      <c r="U819" s="122"/>
      <c r="V819" s="79"/>
      <c r="W819" s="81"/>
    </row>
    <row r="820" spans="10:23" ht="13">
      <c r="J820" s="122"/>
      <c r="K820" s="122"/>
      <c r="L820" s="87"/>
      <c r="N820" s="1"/>
      <c r="T820" s="122"/>
      <c r="U820" s="122"/>
      <c r="V820" s="79"/>
      <c r="W820" s="81"/>
    </row>
    <row r="821" spans="10:23" ht="13">
      <c r="J821" s="122"/>
      <c r="K821" s="122"/>
      <c r="L821" s="87"/>
      <c r="N821" s="1"/>
      <c r="T821" s="122"/>
      <c r="U821" s="122"/>
      <c r="V821" s="79"/>
      <c r="W821" s="81"/>
    </row>
    <row r="822" spans="10:23" ht="13">
      <c r="J822" s="122"/>
      <c r="K822" s="122"/>
      <c r="L822" s="87"/>
      <c r="N822" s="1"/>
      <c r="T822" s="122"/>
      <c r="U822" s="122"/>
      <c r="V822" s="79"/>
      <c r="W822" s="81"/>
    </row>
    <row r="823" spans="10:23" ht="13">
      <c r="J823" s="122"/>
      <c r="K823" s="122"/>
      <c r="L823" s="87"/>
      <c r="N823" s="1"/>
      <c r="T823" s="122"/>
      <c r="U823" s="122"/>
      <c r="V823" s="79"/>
      <c r="W823" s="81"/>
    </row>
    <row r="824" spans="10:23" ht="13">
      <c r="J824" s="122"/>
      <c r="K824" s="122"/>
      <c r="L824" s="87"/>
      <c r="N824" s="1"/>
      <c r="T824" s="122"/>
      <c r="U824" s="122"/>
      <c r="V824" s="79"/>
      <c r="W824" s="81"/>
    </row>
    <row r="825" spans="10:23" ht="13">
      <c r="J825" s="122"/>
      <c r="K825" s="122"/>
      <c r="L825" s="87"/>
      <c r="N825" s="1"/>
      <c r="T825" s="122"/>
      <c r="U825" s="122"/>
      <c r="V825" s="79"/>
      <c r="W825" s="81"/>
    </row>
    <row r="826" spans="10:23" ht="13">
      <c r="J826" s="122"/>
      <c r="K826" s="122"/>
      <c r="L826" s="87"/>
      <c r="N826" s="1"/>
      <c r="T826" s="122"/>
      <c r="U826" s="122"/>
      <c r="V826" s="79"/>
      <c r="W826" s="81"/>
    </row>
    <row r="827" spans="10:23" ht="13">
      <c r="J827" s="122"/>
      <c r="K827" s="122"/>
      <c r="L827" s="87"/>
      <c r="N827" s="1"/>
      <c r="T827" s="122"/>
      <c r="U827" s="122"/>
      <c r="V827" s="79"/>
      <c r="W827" s="81"/>
    </row>
    <row r="828" spans="10:23" ht="13">
      <c r="J828" s="122"/>
      <c r="K828" s="122"/>
      <c r="L828" s="87"/>
      <c r="N828" s="1"/>
      <c r="T828" s="122"/>
      <c r="U828" s="122"/>
      <c r="V828" s="79"/>
      <c r="W828" s="81"/>
    </row>
    <row r="829" spans="10:23" ht="13">
      <c r="J829" s="122"/>
      <c r="K829" s="122"/>
      <c r="L829" s="87"/>
      <c r="N829" s="1"/>
      <c r="T829" s="122"/>
      <c r="U829" s="122"/>
      <c r="V829" s="79"/>
      <c r="W829" s="81"/>
    </row>
    <row r="830" spans="10:23" ht="13">
      <c r="J830" s="122"/>
      <c r="K830" s="122"/>
      <c r="L830" s="87"/>
      <c r="N830" s="1"/>
      <c r="T830" s="122"/>
      <c r="U830" s="122"/>
      <c r="V830" s="79"/>
      <c r="W830" s="81"/>
    </row>
    <row r="831" spans="10:23" ht="13">
      <c r="J831" s="122"/>
      <c r="K831" s="122"/>
      <c r="L831" s="87"/>
      <c r="N831" s="1"/>
      <c r="T831" s="122"/>
      <c r="U831" s="122"/>
      <c r="V831" s="79"/>
      <c r="W831" s="81"/>
    </row>
    <row r="832" spans="10:23" ht="13">
      <c r="J832" s="122"/>
      <c r="K832" s="122"/>
      <c r="L832" s="87"/>
      <c r="N832" s="1"/>
      <c r="T832" s="122"/>
      <c r="U832" s="122"/>
      <c r="V832" s="79"/>
      <c r="W832" s="81"/>
    </row>
    <row r="833" spans="10:23" ht="13">
      <c r="J833" s="122"/>
      <c r="K833" s="122"/>
      <c r="L833" s="87"/>
      <c r="N833" s="1"/>
      <c r="T833" s="122"/>
      <c r="U833" s="122"/>
      <c r="V833" s="79"/>
      <c r="W833" s="81"/>
    </row>
    <row r="834" spans="10:23" ht="13">
      <c r="J834" s="122"/>
      <c r="K834" s="122"/>
      <c r="L834" s="87"/>
      <c r="N834" s="1"/>
      <c r="T834" s="122"/>
      <c r="U834" s="122"/>
      <c r="V834" s="79"/>
      <c r="W834" s="81"/>
    </row>
    <row r="835" spans="10:23" ht="13">
      <c r="J835" s="122"/>
      <c r="K835" s="122"/>
      <c r="L835" s="87"/>
      <c r="N835" s="1"/>
      <c r="T835" s="122"/>
      <c r="U835" s="122"/>
      <c r="V835" s="79"/>
      <c r="W835" s="81"/>
    </row>
    <row r="836" spans="10:23" ht="13">
      <c r="J836" s="122"/>
      <c r="K836" s="122"/>
      <c r="L836" s="87"/>
      <c r="N836" s="1"/>
      <c r="T836" s="122"/>
      <c r="U836" s="122"/>
      <c r="V836" s="79"/>
      <c r="W836" s="81"/>
    </row>
    <row r="837" spans="10:23" ht="13">
      <c r="J837" s="122"/>
      <c r="K837" s="122"/>
      <c r="L837" s="87"/>
      <c r="N837" s="1"/>
      <c r="T837" s="122"/>
      <c r="U837" s="122"/>
      <c r="V837" s="79"/>
      <c r="W837" s="81"/>
    </row>
    <row r="838" spans="10:23" ht="13">
      <c r="J838" s="122"/>
      <c r="K838" s="122"/>
      <c r="L838" s="87"/>
      <c r="N838" s="1"/>
      <c r="T838" s="122"/>
      <c r="U838" s="122"/>
      <c r="V838" s="79"/>
      <c r="W838" s="81"/>
    </row>
    <row r="839" spans="10:23" ht="13">
      <c r="J839" s="122"/>
      <c r="K839" s="122"/>
      <c r="L839" s="87"/>
      <c r="N839" s="1"/>
      <c r="T839" s="122"/>
      <c r="U839" s="122"/>
      <c r="V839" s="79"/>
      <c r="W839" s="81"/>
    </row>
    <row r="840" spans="10:23" ht="13">
      <c r="J840" s="122"/>
      <c r="K840" s="122"/>
      <c r="L840" s="87"/>
      <c r="N840" s="1"/>
      <c r="T840" s="122"/>
      <c r="U840" s="122"/>
      <c r="V840" s="79"/>
      <c r="W840" s="81"/>
    </row>
    <row r="841" spans="10:23" ht="13">
      <c r="J841" s="122"/>
      <c r="K841" s="122"/>
      <c r="L841" s="87"/>
      <c r="N841" s="1"/>
      <c r="T841" s="122"/>
      <c r="U841" s="122"/>
      <c r="V841" s="79"/>
      <c r="W841" s="81"/>
    </row>
    <row r="842" spans="10:23" ht="13">
      <c r="J842" s="122"/>
      <c r="K842" s="122"/>
      <c r="L842" s="87"/>
      <c r="N842" s="1"/>
      <c r="T842" s="122"/>
      <c r="U842" s="122"/>
      <c r="V842" s="79"/>
      <c r="W842" s="81"/>
    </row>
    <row r="843" spans="10:23" ht="13">
      <c r="J843" s="122"/>
      <c r="K843" s="122"/>
      <c r="L843" s="87"/>
      <c r="N843" s="1"/>
      <c r="T843" s="122"/>
      <c r="U843" s="122"/>
      <c r="V843" s="79"/>
      <c r="W843" s="81"/>
    </row>
    <row r="844" spans="10:23" ht="13">
      <c r="J844" s="122"/>
      <c r="K844" s="122"/>
      <c r="L844" s="87"/>
      <c r="N844" s="1"/>
      <c r="T844" s="122"/>
      <c r="U844" s="122"/>
      <c r="V844" s="79"/>
      <c r="W844" s="81"/>
    </row>
    <row r="845" spans="10:23" ht="13">
      <c r="J845" s="122"/>
      <c r="K845" s="122"/>
      <c r="L845" s="87"/>
      <c r="N845" s="1"/>
      <c r="T845" s="122"/>
      <c r="U845" s="122"/>
      <c r="V845" s="79"/>
      <c r="W845" s="81"/>
    </row>
    <row r="846" spans="10:23" ht="13">
      <c r="J846" s="122"/>
      <c r="K846" s="122"/>
      <c r="L846" s="87"/>
      <c r="N846" s="1"/>
      <c r="T846" s="122"/>
      <c r="U846" s="122"/>
      <c r="V846" s="79"/>
      <c r="W846" s="81"/>
    </row>
    <row r="847" spans="10:23" ht="13">
      <c r="J847" s="122"/>
      <c r="K847" s="122"/>
      <c r="L847" s="87"/>
      <c r="N847" s="1"/>
      <c r="T847" s="122"/>
      <c r="U847" s="122"/>
      <c r="V847" s="79"/>
      <c r="W847" s="81"/>
    </row>
    <row r="848" spans="10:23" ht="13">
      <c r="J848" s="122"/>
      <c r="K848" s="122"/>
      <c r="L848" s="87"/>
      <c r="N848" s="1"/>
      <c r="T848" s="122"/>
      <c r="U848" s="122"/>
      <c r="V848" s="79"/>
      <c r="W848" s="81"/>
    </row>
    <row r="849" spans="10:23" ht="13">
      <c r="J849" s="122"/>
      <c r="K849" s="122"/>
      <c r="L849" s="87"/>
      <c r="N849" s="1"/>
      <c r="T849" s="122"/>
      <c r="U849" s="122"/>
      <c r="V849" s="79"/>
      <c r="W849" s="81"/>
    </row>
    <row r="850" spans="10:23" ht="13">
      <c r="J850" s="122"/>
      <c r="K850" s="122"/>
      <c r="L850" s="87"/>
      <c r="N850" s="1"/>
      <c r="T850" s="122"/>
      <c r="U850" s="122"/>
      <c r="V850" s="79"/>
      <c r="W850" s="81"/>
    </row>
    <row r="851" spans="10:23" ht="13">
      <c r="J851" s="122"/>
      <c r="K851" s="122"/>
      <c r="L851" s="87"/>
      <c r="N851" s="1"/>
      <c r="T851" s="122"/>
      <c r="U851" s="122"/>
      <c r="V851" s="79"/>
      <c r="W851" s="81"/>
    </row>
    <row r="852" spans="10:23" ht="13">
      <c r="J852" s="122"/>
      <c r="K852" s="122"/>
      <c r="L852" s="87"/>
      <c r="N852" s="1"/>
      <c r="T852" s="122"/>
      <c r="U852" s="122"/>
      <c r="V852" s="79"/>
      <c r="W852" s="81"/>
    </row>
    <row r="853" spans="10:23" ht="13">
      <c r="J853" s="122"/>
      <c r="K853" s="122"/>
      <c r="L853" s="87"/>
      <c r="N853" s="1"/>
      <c r="T853" s="122"/>
      <c r="U853" s="122"/>
      <c r="V853" s="79"/>
      <c r="W853" s="81"/>
    </row>
    <row r="854" spans="10:23" ht="13">
      <c r="J854" s="122"/>
      <c r="K854" s="122"/>
      <c r="L854" s="87"/>
      <c r="N854" s="1"/>
      <c r="T854" s="122"/>
      <c r="U854" s="122"/>
      <c r="V854" s="79"/>
      <c r="W854" s="81"/>
    </row>
    <row r="855" spans="10:23" ht="13">
      <c r="J855" s="122"/>
      <c r="K855" s="122"/>
      <c r="L855" s="87"/>
      <c r="N855" s="1"/>
      <c r="T855" s="122"/>
      <c r="U855" s="122"/>
      <c r="V855" s="79"/>
      <c r="W855" s="81"/>
    </row>
    <row r="856" spans="10:23" ht="13">
      <c r="J856" s="122"/>
      <c r="K856" s="122"/>
      <c r="L856" s="87"/>
      <c r="N856" s="1"/>
      <c r="T856" s="122"/>
      <c r="U856" s="122"/>
      <c r="V856" s="79"/>
      <c r="W856" s="81"/>
    </row>
    <row r="857" spans="10:23" ht="13">
      <c r="J857" s="122"/>
      <c r="K857" s="122"/>
      <c r="L857" s="87"/>
      <c r="N857" s="1"/>
      <c r="T857" s="122"/>
      <c r="U857" s="122"/>
      <c r="V857" s="79"/>
      <c r="W857" s="81"/>
    </row>
    <row r="858" spans="10:23" ht="13">
      <c r="J858" s="122"/>
      <c r="K858" s="122"/>
      <c r="L858" s="87"/>
      <c r="N858" s="1"/>
      <c r="T858" s="122"/>
      <c r="U858" s="122"/>
      <c r="V858" s="79"/>
      <c r="W858" s="81"/>
    </row>
    <row r="859" spans="10:23" ht="13">
      <c r="J859" s="122"/>
      <c r="K859" s="122"/>
      <c r="L859" s="87"/>
      <c r="N859" s="1"/>
      <c r="T859" s="122"/>
      <c r="U859" s="122"/>
      <c r="V859" s="79"/>
      <c r="W859" s="81"/>
    </row>
    <row r="860" spans="10:23" ht="13">
      <c r="J860" s="122"/>
      <c r="K860" s="122"/>
      <c r="L860" s="87"/>
      <c r="N860" s="1"/>
      <c r="T860" s="122"/>
      <c r="U860" s="122"/>
      <c r="V860" s="79"/>
      <c r="W860" s="81"/>
    </row>
    <row r="861" spans="10:23" ht="13">
      <c r="J861" s="122"/>
      <c r="K861" s="122"/>
      <c r="L861" s="87"/>
      <c r="N861" s="1"/>
      <c r="T861" s="122"/>
      <c r="U861" s="122"/>
      <c r="V861" s="79"/>
      <c r="W861" s="81"/>
    </row>
    <row r="862" spans="10:23" ht="13">
      <c r="J862" s="122"/>
      <c r="K862" s="122"/>
      <c r="L862" s="87"/>
      <c r="N862" s="1"/>
      <c r="T862" s="122"/>
      <c r="U862" s="122"/>
      <c r="V862" s="79"/>
      <c r="W862" s="81"/>
    </row>
    <row r="863" spans="10:23" ht="13">
      <c r="J863" s="122"/>
      <c r="K863" s="122"/>
      <c r="L863" s="87"/>
      <c r="N863" s="1"/>
      <c r="T863" s="122"/>
      <c r="U863" s="122"/>
      <c r="V863" s="79"/>
      <c r="W863" s="81"/>
    </row>
    <row r="864" spans="10:23" ht="13">
      <c r="J864" s="122"/>
      <c r="K864" s="122"/>
      <c r="L864" s="87"/>
      <c r="N864" s="1"/>
      <c r="T864" s="122"/>
      <c r="U864" s="122"/>
      <c r="V864" s="79"/>
      <c r="W864" s="81"/>
    </row>
    <row r="865" spans="10:23" ht="13">
      <c r="J865" s="122"/>
      <c r="K865" s="122"/>
      <c r="L865" s="87"/>
      <c r="N865" s="1"/>
      <c r="T865" s="122"/>
      <c r="U865" s="122"/>
      <c r="V865" s="79"/>
      <c r="W865" s="81"/>
    </row>
    <row r="866" spans="10:23" ht="13">
      <c r="J866" s="122"/>
      <c r="K866" s="122"/>
      <c r="L866" s="87"/>
      <c r="N866" s="1"/>
      <c r="T866" s="122"/>
      <c r="U866" s="122"/>
      <c r="V866" s="79"/>
      <c r="W866" s="81"/>
    </row>
    <row r="867" spans="10:23" ht="13">
      <c r="J867" s="122"/>
      <c r="K867" s="122"/>
      <c r="L867" s="87"/>
      <c r="N867" s="1"/>
      <c r="T867" s="122"/>
      <c r="U867" s="122"/>
      <c r="V867" s="79"/>
      <c r="W867" s="81"/>
    </row>
    <row r="868" spans="10:23" ht="13">
      <c r="J868" s="122"/>
      <c r="K868" s="122"/>
      <c r="L868" s="87"/>
      <c r="N868" s="1"/>
      <c r="T868" s="122"/>
      <c r="U868" s="122"/>
      <c r="V868" s="79"/>
      <c r="W868" s="81"/>
    </row>
    <row r="869" spans="10:23" ht="13">
      <c r="J869" s="122"/>
      <c r="K869" s="122"/>
      <c r="L869" s="87"/>
      <c r="N869" s="1"/>
      <c r="T869" s="122"/>
      <c r="U869" s="122"/>
      <c r="V869" s="79"/>
      <c r="W869" s="81"/>
    </row>
    <row r="870" spans="10:23" ht="13">
      <c r="J870" s="122"/>
      <c r="K870" s="122"/>
      <c r="L870" s="87"/>
      <c r="N870" s="1"/>
      <c r="T870" s="122"/>
      <c r="U870" s="122"/>
      <c r="V870" s="79"/>
      <c r="W870" s="81"/>
    </row>
    <row r="871" spans="10:23" ht="13">
      <c r="J871" s="122"/>
      <c r="K871" s="122"/>
      <c r="L871" s="87"/>
      <c r="N871" s="1"/>
      <c r="T871" s="122"/>
      <c r="U871" s="122"/>
      <c r="V871" s="79"/>
      <c r="W871" s="81"/>
    </row>
    <row r="872" spans="10:23" ht="13">
      <c r="J872" s="122"/>
      <c r="K872" s="122"/>
      <c r="L872" s="87"/>
      <c r="N872" s="1"/>
      <c r="T872" s="122"/>
      <c r="U872" s="122"/>
      <c r="V872" s="79"/>
      <c r="W872" s="81"/>
    </row>
    <row r="873" spans="10:23" ht="13">
      <c r="J873" s="122"/>
      <c r="K873" s="122"/>
      <c r="L873" s="87"/>
      <c r="N873" s="1"/>
      <c r="T873" s="122"/>
      <c r="U873" s="122"/>
      <c r="V873" s="79"/>
      <c r="W873" s="81"/>
    </row>
    <row r="874" spans="10:23" ht="13">
      <c r="J874" s="122"/>
      <c r="K874" s="122"/>
      <c r="L874" s="87"/>
      <c r="N874" s="1"/>
      <c r="T874" s="122"/>
      <c r="U874" s="122"/>
      <c r="V874" s="79"/>
      <c r="W874" s="81"/>
    </row>
    <row r="875" spans="10:23" ht="13">
      <c r="J875" s="122"/>
      <c r="K875" s="122"/>
      <c r="L875" s="87"/>
      <c r="N875" s="1"/>
      <c r="T875" s="122"/>
      <c r="U875" s="122"/>
      <c r="V875" s="79"/>
      <c r="W875" s="81"/>
    </row>
    <row r="876" spans="10:23" ht="13">
      <c r="J876" s="122"/>
      <c r="K876" s="122"/>
      <c r="L876" s="87"/>
      <c r="N876" s="1"/>
      <c r="T876" s="122"/>
      <c r="U876" s="122"/>
      <c r="V876" s="79"/>
      <c r="W876" s="81"/>
    </row>
    <row r="877" spans="10:23" ht="13">
      <c r="J877" s="122"/>
      <c r="K877" s="122"/>
      <c r="L877" s="87"/>
      <c r="N877" s="1"/>
      <c r="T877" s="122"/>
      <c r="U877" s="122"/>
      <c r="V877" s="79"/>
      <c r="W877" s="81"/>
    </row>
    <row r="878" spans="10:23" ht="13">
      <c r="J878" s="122"/>
      <c r="K878" s="122"/>
      <c r="L878" s="87"/>
      <c r="N878" s="1"/>
      <c r="T878" s="122"/>
      <c r="U878" s="122"/>
      <c r="V878" s="79"/>
      <c r="W878" s="81"/>
    </row>
    <row r="879" spans="10:23" ht="13">
      <c r="J879" s="122"/>
      <c r="K879" s="122"/>
      <c r="L879" s="87"/>
      <c r="N879" s="1"/>
      <c r="T879" s="122"/>
      <c r="U879" s="122"/>
      <c r="V879" s="79"/>
      <c r="W879" s="81"/>
    </row>
    <row r="880" spans="10:23" ht="13">
      <c r="J880" s="122"/>
      <c r="K880" s="122"/>
      <c r="L880" s="87"/>
      <c r="N880" s="1"/>
      <c r="T880" s="122"/>
      <c r="U880" s="122"/>
      <c r="V880" s="79"/>
      <c r="W880" s="81"/>
    </row>
    <row r="881" spans="10:23" ht="13">
      <c r="J881" s="122"/>
      <c r="K881" s="122"/>
      <c r="L881" s="87"/>
      <c r="N881" s="1"/>
      <c r="T881" s="122"/>
      <c r="U881" s="122"/>
      <c r="V881" s="79"/>
      <c r="W881" s="81"/>
    </row>
    <row r="882" spans="10:23" ht="13">
      <c r="J882" s="122"/>
      <c r="K882" s="122"/>
      <c r="L882" s="87"/>
      <c r="N882" s="1"/>
      <c r="T882" s="122"/>
      <c r="U882" s="122"/>
      <c r="V882" s="79"/>
      <c r="W882" s="81"/>
    </row>
    <row r="883" spans="10:23" ht="13">
      <c r="J883" s="122"/>
      <c r="K883" s="122"/>
      <c r="L883" s="87"/>
      <c r="N883" s="1"/>
      <c r="T883" s="122"/>
      <c r="U883" s="122"/>
      <c r="V883" s="79"/>
      <c r="W883" s="81"/>
    </row>
    <row r="884" spans="10:23" ht="13">
      <c r="J884" s="122"/>
      <c r="K884" s="122"/>
      <c r="L884" s="87"/>
      <c r="N884" s="1"/>
      <c r="T884" s="122"/>
      <c r="U884" s="122"/>
      <c r="V884" s="79"/>
      <c r="W884" s="81"/>
    </row>
    <row r="885" spans="10:23" ht="13">
      <c r="J885" s="122"/>
      <c r="K885" s="122"/>
      <c r="L885" s="87"/>
      <c r="N885" s="1"/>
      <c r="T885" s="122"/>
      <c r="U885" s="122"/>
      <c r="V885" s="79"/>
      <c r="W885" s="81"/>
    </row>
    <row r="886" spans="10:23" ht="13">
      <c r="J886" s="122"/>
      <c r="K886" s="122"/>
      <c r="L886" s="87"/>
      <c r="N886" s="1"/>
      <c r="T886" s="122"/>
      <c r="U886" s="122"/>
      <c r="V886" s="79"/>
      <c r="W886" s="81"/>
    </row>
    <row r="887" spans="10:23" ht="13">
      <c r="J887" s="122"/>
      <c r="K887" s="122"/>
      <c r="L887" s="87"/>
      <c r="N887" s="1"/>
      <c r="T887" s="122"/>
      <c r="U887" s="122"/>
      <c r="V887" s="79"/>
      <c r="W887" s="81"/>
    </row>
    <row r="888" spans="10:23" ht="13">
      <c r="J888" s="122"/>
      <c r="K888" s="122"/>
      <c r="L888" s="87"/>
      <c r="N888" s="1"/>
      <c r="T888" s="122"/>
      <c r="U888" s="122"/>
      <c r="V888" s="79"/>
      <c r="W888" s="81"/>
    </row>
    <row r="889" spans="10:23" ht="13">
      <c r="J889" s="122"/>
      <c r="K889" s="122"/>
      <c r="L889" s="87"/>
      <c r="N889" s="1"/>
      <c r="T889" s="122"/>
      <c r="U889" s="122"/>
      <c r="V889" s="79"/>
      <c r="W889" s="81"/>
    </row>
    <row r="890" spans="10:23" ht="13">
      <c r="J890" s="122"/>
      <c r="K890" s="122"/>
      <c r="L890" s="87"/>
      <c r="N890" s="1"/>
      <c r="T890" s="122"/>
      <c r="U890" s="122"/>
      <c r="V890" s="79"/>
      <c r="W890" s="81"/>
    </row>
    <row r="891" spans="10:23" ht="13">
      <c r="J891" s="122"/>
      <c r="K891" s="122"/>
      <c r="L891" s="87"/>
      <c r="N891" s="1"/>
      <c r="T891" s="122"/>
      <c r="U891" s="122"/>
      <c r="V891" s="79"/>
      <c r="W891" s="81"/>
    </row>
    <row r="892" spans="10:23" ht="13">
      <c r="J892" s="122"/>
      <c r="K892" s="122"/>
      <c r="L892" s="87"/>
      <c r="N892" s="1"/>
      <c r="T892" s="122"/>
      <c r="U892" s="122"/>
      <c r="V892" s="79"/>
      <c r="W892" s="81"/>
    </row>
    <row r="893" spans="10:23" ht="13">
      <c r="J893" s="122"/>
      <c r="K893" s="122"/>
      <c r="L893" s="87"/>
      <c r="N893" s="1"/>
      <c r="T893" s="122"/>
      <c r="U893" s="122"/>
      <c r="V893" s="79"/>
      <c r="W893" s="81"/>
    </row>
    <row r="894" spans="10:23" ht="13">
      <c r="J894" s="122"/>
      <c r="K894" s="122"/>
      <c r="L894" s="87"/>
      <c r="N894" s="1"/>
      <c r="T894" s="122"/>
      <c r="U894" s="122"/>
      <c r="V894" s="79"/>
      <c r="W894" s="81"/>
    </row>
    <row r="895" spans="10:23" ht="13">
      <c r="J895" s="122"/>
      <c r="K895" s="122"/>
      <c r="L895" s="87"/>
      <c r="N895" s="1"/>
      <c r="T895" s="122"/>
      <c r="U895" s="122"/>
      <c r="V895" s="79"/>
      <c r="W895" s="81"/>
    </row>
    <row r="896" spans="10:23" ht="13">
      <c r="J896" s="122"/>
      <c r="K896" s="122"/>
      <c r="L896" s="87"/>
      <c r="N896" s="1"/>
      <c r="T896" s="122"/>
      <c r="U896" s="122"/>
      <c r="V896" s="79"/>
      <c r="W896" s="81"/>
    </row>
    <row r="897" spans="10:23" ht="13">
      <c r="J897" s="122"/>
      <c r="K897" s="122"/>
      <c r="L897" s="87"/>
      <c r="N897" s="1"/>
      <c r="T897" s="122"/>
      <c r="U897" s="122"/>
      <c r="V897" s="79"/>
      <c r="W897" s="81"/>
    </row>
    <row r="898" spans="10:23" ht="13">
      <c r="J898" s="122"/>
      <c r="K898" s="122"/>
      <c r="L898" s="87"/>
      <c r="N898" s="1"/>
      <c r="T898" s="122"/>
      <c r="U898" s="122"/>
      <c r="V898" s="79"/>
      <c r="W898" s="81"/>
    </row>
    <row r="899" spans="10:23" ht="13">
      <c r="J899" s="122"/>
      <c r="K899" s="122"/>
      <c r="L899" s="87"/>
      <c r="N899" s="1"/>
      <c r="T899" s="122"/>
      <c r="U899" s="122"/>
      <c r="V899" s="79"/>
      <c r="W899" s="81"/>
    </row>
    <row r="900" spans="10:23" ht="13">
      <c r="J900" s="122"/>
      <c r="K900" s="122"/>
      <c r="L900" s="87"/>
      <c r="N900" s="1"/>
      <c r="T900" s="122"/>
      <c r="U900" s="122"/>
      <c r="V900" s="79"/>
      <c r="W900" s="81"/>
    </row>
    <row r="901" spans="10:23" ht="13">
      <c r="J901" s="122"/>
      <c r="K901" s="122"/>
      <c r="L901" s="87"/>
      <c r="N901" s="1"/>
      <c r="T901" s="122"/>
      <c r="U901" s="122"/>
      <c r="V901" s="79"/>
      <c r="W901" s="81"/>
    </row>
    <row r="902" spans="10:23" ht="13">
      <c r="J902" s="122"/>
      <c r="K902" s="122"/>
      <c r="L902" s="87"/>
      <c r="N902" s="1"/>
      <c r="T902" s="122"/>
      <c r="U902" s="122"/>
      <c r="V902" s="79"/>
      <c r="W902" s="81"/>
    </row>
    <row r="903" spans="10:23" ht="13">
      <c r="J903" s="122"/>
      <c r="K903" s="122"/>
      <c r="L903" s="87"/>
      <c r="N903" s="1"/>
      <c r="T903" s="122"/>
      <c r="U903" s="122"/>
      <c r="V903" s="79"/>
      <c r="W903" s="81"/>
    </row>
    <row r="904" spans="10:23" ht="13">
      <c r="J904" s="122"/>
      <c r="K904" s="122"/>
      <c r="L904" s="87"/>
      <c r="N904" s="1"/>
      <c r="T904" s="122"/>
      <c r="U904" s="122"/>
      <c r="V904" s="79"/>
      <c r="W904" s="81"/>
    </row>
    <row r="905" spans="10:23" ht="13">
      <c r="J905" s="122"/>
      <c r="K905" s="122"/>
      <c r="L905" s="87"/>
      <c r="N905" s="1"/>
      <c r="T905" s="122"/>
      <c r="U905" s="122"/>
      <c r="V905" s="79"/>
      <c r="W905" s="81"/>
    </row>
    <row r="906" spans="10:23" ht="13">
      <c r="J906" s="122"/>
      <c r="K906" s="122"/>
      <c r="L906" s="87"/>
      <c r="N906" s="1"/>
      <c r="T906" s="122"/>
      <c r="U906" s="122"/>
      <c r="V906" s="79"/>
      <c r="W906" s="81"/>
    </row>
    <row r="907" spans="10:23" ht="13">
      <c r="J907" s="122"/>
      <c r="K907" s="122"/>
      <c r="L907" s="87"/>
      <c r="N907" s="1"/>
      <c r="T907" s="122"/>
      <c r="U907" s="122"/>
      <c r="V907" s="79"/>
      <c r="W907" s="81"/>
    </row>
    <row r="908" spans="10:23" ht="13">
      <c r="J908" s="122"/>
      <c r="K908" s="122"/>
      <c r="L908" s="87"/>
      <c r="N908" s="1"/>
      <c r="T908" s="122"/>
      <c r="U908" s="122"/>
      <c r="V908" s="79"/>
      <c r="W908" s="81"/>
    </row>
    <row r="909" spans="10:23" ht="13">
      <c r="J909" s="122"/>
      <c r="K909" s="122"/>
      <c r="L909" s="87"/>
      <c r="N909" s="1"/>
      <c r="T909" s="122"/>
      <c r="U909" s="122"/>
      <c r="V909" s="79"/>
      <c r="W909" s="81"/>
    </row>
    <row r="910" spans="10:23" ht="13">
      <c r="J910" s="122"/>
      <c r="K910" s="122"/>
      <c r="L910" s="87"/>
      <c r="N910" s="1"/>
      <c r="T910" s="122"/>
      <c r="U910" s="122"/>
      <c r="V910" s="79"/>
      <c r="W910" s="81"/>
    </row>
    <row r="911" spans="10:23" ht="13">
      <c r="J911" s="122"/>
      <c r="K911" s="122"/>
      <c r="L911" s="87"/>
      <c r="N911" s="1"/>
      <c r="T911" s="122"/>
      <c r="U911" s="122"/>
      <c r="V911" s="79"/>
      <c r="W911" s="81"/>
    </row>
    <row r="912" spans="10:23" ht="13">
      <c r="J912" s="122"/>
      <c r="K912" s="122"/>
      <c r="L912" s="87"/>
      <c r="N912" s="1"/>
      <c r="T912" s="122"/>
      <c r="U912" s="122"/>
      <c r="V912" s="79"/>
      <c r="W912" s="81"/>
    </row>
    <row r="913" spans="10:23" ht="13">
      <c r="J913" s="122"/>
      <c r="K913" s="122"/>
      <c r="L913" s="87"/>
      <c r="N913" s="1"/>
      <c r="T913" s="122"/>
      <c r="U913" s="122"/>
      <c r="V913" s="79"/>
      <c r="W913" s="81"/>
    </row>
    <row r="914" spans="10:23" ht="13">
      <c r="J914" s="122"/>
      <c r="K914" s="122"/>
      <c r="L914" s="87"/>
      <c r="N914" s="1"/>
      <c r="T914" s="122"/>
      <c r="U914" s="122"/>
      <c r="V914" s="79"/>
      <c r="W914" s="81"/>
    </row>
    <row r="915" spans="10:23" ht="13">
      <c r="J915" s="122"/>
      <c r="K915" s="122"/>
      <c r="L915" s="87"/>
      <c r="N915" s="1"/>
      <c r="T915" s="122"/>
      <c r="U915" s="122"/>
      <c r="V915" s="79"/>
      <c r="W915" s="81"/>
    </row>
    <row r="916" spans="10:23" ht="13">
      <c r="J916" s="122"/>
      <c r="K916" s="122"/>
      <c r="L916" s="87"/>
      <c r="N916" s="1"/>
      <c r="T916" s="122"/>
      <c r="U916" s="122"/>
      <c r="V916" s="79"/>
      <c r="W916" s="81"/>
    </row>
    <row r="917" spans="10:23" ht="13">
      <c r="J917" s="122"/>
      <c r="K917" s="122"/>
      <c r="L917" s="87"/>
      <c r="N917" s="1"/>
      <c r="T917" s="122"/>
      <c r="U917" s="122"/>
      <c r="V917" s="79"/>
      <c r="W917" s="81"/>
    </row>
    <row r="918" spans="10:23" ht="13">
      <c r="J918" s="122"/>
      <c r="K918" s="122"/>
      <c r="L918" s="87"/>
      <c r="N918" s="1"/>
      <c r="T918" s="122"/>
      <c r="U918" s="122"/>
      <c r="V918" s="79"/>
      <c r="W918" s="81"/>
    </row>
    <row r="919" spans="10:23" ht="13">
      <c r="J919" s="122"/>
      <c r="K919" s="122"/>
      <c r="L919" s="87"/>
      <c r="N919" s="1"/>
      <c r="T919" s="122"/>
      <c r="U919" s="122"/>
      <c r="V919" s="79"/>
      <c r="W919" s="81"/>
    </row>
    <row r="920" spans="10:23" ht="13">
      <c r="J920" s="122"/>
      <c r="K920" s="122"/>
      <c r="L920" s="87"/>
      <c r="N920" s="1"/>
      <c r="T920" s="122"/>
      <c r="U920" s="122"/>
      <c r="V920" s="79"/>
      <c r="W920" s="81"/>
    </row>
    <row r="921" spans="10:23" ht="13">
      <c r="J921" s="122"/>
      <c r="K921" s="122"/>
      <c r="L921" s="87"/>
      <c r="N921" s="1"/>
      <c r="T921" s="122"/>
      <c r="U921" s="122"/>
      <c r="V921" s="79"/>
      <c r="W921" s="81"/>
    </row>
    <row r="922" spans="10:23" ht="13">
      <c r="J922" s="122"/>
      <c r="K922" s="122"/>
      <c r="L922" s="87"/>
      <c r="N922" s="1"/>
      <c r="T922" s="122"/>
      <c r="U922" s="122"/>
      <c r="V922" s="79"/>
      <c r="W922" s="81"/>
    </row>
    <row r="923" spans="10:23" ht="13">
      <c r="J923" s="122"/>
      <c r="K923" s="122"/>
      <c r="L923" s="87"/>
      <c r="N923" s="1"/>
      <c r="T923" s="122"/>
      <c r="U923" s="122"/>
      <c r="V923" s="79"/>
      <c r="W923" s="81"/>
    </row>
    <row r="924" spans="10:23" ht="13">
      <c r="J924" s="122"/>
      <c r="K924" s="122"/>
      <c r="L924" s="87"/>
      <c r="N924" s="1"/>
      <c r="T924" s="122"/>
      <c r="U924" s="122"/>
      <c r="V924" s="79"/>
      <c r="W924" s="81"/>
    </row>
    <row r="925" spans="10:23" ht="13">
      <c r="J925" s="122"/>
      <c r="K925" s="122"/>
      <c r="L925" s="87"/>
      <c r="N925" s="1"/>
      <c r="T925" s="122"/>
      <c r="U925" s="122"/>
      <c r="V925" s="79"/>
      <c r="W925" s="81"/>
    </row>
    <row r="926" spans="10:23" ht="13">
      <c r="J926" s="122"/>
      <c r="K926" s="122"/>
      <c r="L926" s="87"/>
      <c r="N926" s="1"/>
      <c r="T926" s="122"/>
      <c r="U926" s="122"/>
      <c r="V926" s="79"/>
      <c r="W926" s="81"/>
    </row>
    <row r="927" spans="10:23" ht="13">
      <c r="J927" s="122"/>
      <c r="K927" s="122"/>
      <c r="L927" s="87"/>
      <c r="N927" s="1"/>
      <c r="T927" s="122"/>
      <c r="U927" s="122"/>
      <c r="V927" s="79"/>
      <c r="W927" s="81"/>
    </row>
    <row r="928" spans="10:23" ht="13">
      <c r="J928" s="122"/>
      <c r="K928" s="122"/>
      <c r="L928" s="87"/>
      <c r="N928" s="1"/>
      <c r="T928" s="122"/>
      <c r="U928" s="122"/>
      <c r="V928" s="79"/>
      <c r="W928" s="81"/>
    </row>
    <row r="929" spans="10:23" ht="13">
      <c r="J929" s="122"/>
      <c r="K929" s="122"/>
      <c r="L929" s="87"/>
      <c r="N929" s="1"/>
      <c r="T929" s="122"/>
      <c r="U929" s="122"/>
      <c r="V929" s="79"/>
      <c r="W929" s="81"/>
    </row>
    <row r="930" spans="10:23" ht="13">
      <c r="J930" s="122"/>
      <c r="K930" s="122"/>
      <c r="L930" s="87"/>
      <c r="N930" s="1"/>
      <c r="T930" s="122"/>
      <c r="U930" s="122"/>
      <c r="V930" s="79"/>
      <c r="W930" s="81"/>
    </row>
    <row r="931" spans="10:23" ht="13">
      <c r="J931" s="122"/>
      <c r="K931" s="122"/>
      <c r="L931" s="87"/>
      <c r="N931" s="1"/>
      <c r="T931" s="122"/>
      <c r="U931" s="122"/>
      <c r="V931" s="79"/>
      <c r="W931" s="81"/>
    </row>
    <row r="932" spans="10:23" ht="13">
      <c r="J932" s="122"/>
      <c r="K932" s="122"/>
      <c r="L932" s="87"/>
      <c r="N932" s="1"/>
      <c r="T932" s="122"/>
      <c r="U932" s="122"/>
      <c r="V932" s="79"/>
      <c r="W932" s="81"/>
    </row>
    <row r="933" spans="10:23" ht="13">
      <c r="J933" s="122"/>
      <c r="K933" s="122"/>
      <c r="L933" s="87"/>
      <c r="N933" s="1"/>
      <c r="T933" s="122"/>
      <c r="U933" s="122"/>
      <c r="V933" s="79"/>
      <c r="W933" s="81"/>
    </row>
    <row r="934" spans="10:23" ht="13">
      <c r="J934" s="122"/>
      <c r="K934" s="122"/>
      <c r="L934" s="87"/>
      <c r="N934" s="1"/>
      <c r="T934" s="122"/>
      <c r="U934" s="122"/>
      <c r="V934" s="79"/>
      <c r="W934" s="81"/>
    </row>
    <row r="935" spans="10:23" ht="13">
      <c r="J935" s="122"/>
      <c r="K935" s="122"/>
      <c r="L935" s="87"/>
      <c r="N935" s="1"/>
      <c r="T935" s="122"/>
      <c r="U935" s="122"/>
      <c r="V935" s="79"/>
      <c r="W935" s="81"/>
    </row>
    <row r="936" spans="10:23" ht="13">
      <c r="J936" s="122"/>
      <c r="K936" s="122"/>
      <c r="L936" s="87"/>
      <c r="N936" s="1"/>
      <c r="T936" s="122"/>
      <c r="U936" s="122"/>
      <c r="V936" s="79"/>
      <c r="W936" s="81"/>
    </row>
    <row r="937" spans="10:23" ht="13">
      <c r="J937" s="122"/>
      <c r="K937" s="122"/>
      <c r="L937" s="87"/>
      <c r="N937" s="1"/>
      <c r="T937" s="122"/>
      <c r="U937" s="122"/>
      <c r="V937" s="79"/>
      <c r="W937" s="81"/>
    </row>
    <row r="938" spans="10:23" ht="13">
      <c r="J938" s="122"/>
      <c r="K938" s="122"/>
      <c r="L938" s="87"/>
      <c r="N938" s="1"/>
      <c r="T938" s="122"/>
      <c r="U938" s="122"/>
      <c r="V938" s="79"/>
      <c r="W938" s="81"/>
    </row>
    <row r="939" spans="10:23" ht="13">
      <c r="J939" s="122"/>
      <c r="K939" s="122"/>
      <c r="L939" s="87"/>
      <c r="N939" s="1"/>
      <c r="T939" s="122"/>
      <c r="U939" s="122"/>
      <c r="V939" s="79"/>
      <c r="W939" s="81"/>
    </row>
    <row r="940" spans="10:23" ht="13">
      <c r="J940" s="122"/>
      <c r="K940" s="122"/>
      <c r="L940" s="87"/>
      <c r="N940" s="1"/>
      <c r="T940" s="122"/>
      <c r="U940" s="122"/>
      <c r="V940" s="79"/>
      <c r="W940" s="81"/>
    </row>
    <row r="941" spans="10:23" ht="13">
      <c r="J941" s="122"/>
      <c r="K941" s="122"/>
      <c r="L941" s="87"/>
      <c r="N941" s="1"/>
      <c r="T941" s="122"/>
      <c r="U941" s="122"/>
      <c r="V941" s="79"/>
      <c r="W941" s="81"/>
    </row>
    <row r="942" spans="10:23" ht="13">
      <c r="J942" s="122"/>
      <c r="K942" s="122"/>
      <c r="L942" s="87"/>
      <c r="N942" s="1"/>
      <c r="T942" s="122"/>
      <c r="U942" s="122"/>
      <c r="V942" s="79"/>
      <c r="W942" s="81"/>
    </row>
    <row r="943" spans="10:23" ht="13">
      <c r="J943" s="122"/>
      <c r="K943" s="122"/>
      <c r="L943" s="87"/>
      <c r="N943" s="1"/>
      <c r="T943" s="122"/>
      <c r="U943" s="122"/>
      <c r="V943" s="79"/>
      <c r="W943" s="81"/>
    </row>
    <row r="944" spans="10:23" ht="13">
      <c r="J944" s="122"/>
      <c r="K944" s="122"/>
      <c r="L944" s="87"/>
      <c r="N944" s="1"/>
      <c r="T944" s="122"/>
      <c r="U944" s="122"/>
      <c r="V944" s="79"/>
      <c r="W944" s="81"/>
    </row>
    <row r="945" spans="10:23" ht="13">
      <c r="J945" s="122"/>
      <c r="K945" s="122"/>
      <c r="L945" s="87"/>
      <c r="N945" s="1"/>
      <c r="T945" s="122"/>
      <c r="U945" s="122"/>
      <c r="V945" s="79"/>
      <c r="W945" s="81"/>
    </row>
    <row r="946" spans="10:23" ht="13">
      <c r="J946" s="122"/>
      <c r="K946" s="122"/>
      <c r="L946" s="87"/>
      <c r="N946" s="1"/>
      <c r="T946" s="122"/>
      <c r="U946" s="122"/>
      <c r="V946" s="79"/>
      <c r="W946" s="81"/>
    </row>
    <row r="947" spans="10:23" ht="13">
      <c r="J947" s="122"/>
      <c r="K947" s="122"/>
      <c r="L947" s="87"/>
      <c r="N947" s="1"/>
      <c r="T947" s="122"/>
      <c r="U947" s="122"/>
      <c r="V947" s="79"/>
      <c r="W947" s="81"/>
    </row>
    <row r="948" spans="10:23" ht="13">
      <c r="J948" s="122"/>
      <c r="K948" s="122"/>
      <c r="L948" s="87"/>
      <c r="N948" s="1"/>
      <c r="T948" s="122"/>
      <c r="U948" s="122"/>
      <c r="V948" s="79"/>
      <c r="W948" s="81"/>
    </row>
    <row r="949" spans="10:23" ht="13">
      <c r="J949" s="122"/>
      <c r="K949" s="122"/>
      <c r="L949" s="87"/>
      <c r="N949" s="1"/>
      <c r="T949" s="122"/>
      <c r="U949" s="122"/>
      <c r="V949" s="79"/>
      <c r="W949" s="81"/>
    </row>
    <row r="950" spans="10:23" ht="13">
      <c r="J950" s="122"/>
      <c r="K950" s="122"/>
      <c r="L950" s="87"/>
      <c r="N950" s="1"/>
      <c r="T950" s="122"/>
      <c r="U950" s="122"/>
      <c r="V950" s="79"/>
      <c r="W950" s="81"/>
    </row>
    <row r="951" spans="10:23" ht="13">
      <c r="J951" s="122"/>
      <c r="K951" s="122"/>
      <c r="L951" s="87"/>
      <c r="N951" s="1"/>
      <c r="T951" s="122"/>
      <c r="U951" s="122"/>
      <c r="V951" s="79"/>
      <c r="W951" s="81"/>
    </row>
    <row r="952" spans="10:23" ht="13">
      <c r="J952" s="122"/>
      <c r="K952" s="122"/>
      <c r="L952" s="87"/>
      <c r="N952" s="1"/>
      <c r="T952" s="122"/>
      <c r="U952" s="122"/>
      <c r="V952" s="79"/>
      <c r="W952" s="81"/>
    </row>
    <row r="953" spans="10:23" ht="13">
      <c r="J953" s="122"/>
      <c r="K953" s="122"/>
      <c r="L953" s="87"/>
      <c r="N953" s="1"/>
      <c r="T953" s="122"/>
      <c r="U953" s="122"/>
      <c r="V953" s="79"/>
      <c r="W953" s="81"/>
    </row>
    <row r="954" spans="10:23" ht="13">
      <c r="J954" s="122"/>
      <c r="K954" s="122"/>
      <c r="L954" s="87"/>
      <c r="N954" s="1"/>
      <c r="T954" s="122"/>
      <c r="U954" s="122"/>
      <c r="V954" s="79"/>
      <c r="W954" s="81"/>
    </row>
    <row r="955" spans="10:23" ht="13">
      <c r="J955" s="122"/>
      <c r="K955" s="122"/>
      <c r="L955" s="87"/>
      <c r="N955" s="1"/>
      <c r="T955" s="122"/>
      <c r="U955" s="122"/>
      <c r="V955" s="79"/>
      <c r="W955" s="81"/>
    </row>
    <row r="956" spans="10:23" ht="13">
      <c r="J956" s="122"/>
      <c r="K956" s="122"/>
      <c r="L956" s="87"/>
      <c r="N956" s="1"/>
      <c r="T956" s="122"/>
      <c r="U956" s="122"/>
      <c r="V956" s="79"/>
      <c r="W956" s="81"/>
    </row>
    <row r="957" spans="10:23" ht="13">
      <c r="J957" s="122"/>
      <c r="K957" s="122"/>
      <c r="L957" s="87"/>
      <c r="N957" s="1"/>
      <c r="T957" s="122"/>
      <c r="U957" s="122"/>
      <c r="V957" s="79"/>
      <c r="W957" s="81"/>
    </row>
    <row r="958" spans="10:23" ht="13">
      <c r="J958" s="122"/>
      <c r="K958" s="122"/>
      <c r="L958" s="87"/>
      <c r="N958" s="1"/>
      <c r="T958" s="122"/>
      <c r="U958" s="122"/>
      <c r="V958" s="79"/>
      <c r="W958" s="81"/>
    </row>
    <row r="959" spans="10:23" ht="13">
      <c r="J959" s="122"/>
      <c r="K959" s="122"/>
      <c r="L959" s="87"/>
      <c r="N959" s="1"/>
      <c r="T959" s="122"/>
      <c r="U959" s="122"/>
      <c r="V959" s="79"/>
      <c r="W959" s="81"/>
    </row>
    <row r="960" spans="10:23" ht="13">
      <c r="J960" s="122"/>
      <c r="K960" s="122"/>
      <c r="L960" s="87"/>
      <c r="N960" s="1"/>
      <c r="T960" s="122"/>
      <c r="U960" s="122"/>
      <c r="V960" s="79"/>
      <c r="W960" s="81"/>
    </row>
    <row r="961" spans="10:23" ht="13">
      <c r="J961" s="122"/>
      <c r="K961" s="122"/>
      <c r="L961" s="87"/>
      <c r="N961" s="1"/>
      <c r="T961" s="122"/>
      <c r="U961" s="122"/>
      <c r="V961" s="79"/>
      <c r="W961" s="81"/>
    </row>
    <row r="962" spans="10:23" ht="13">
      <c r="J962" s="122"/>
      <c r="K962" s="122"/>
      <c r="L962" s="87"/>
      <c r="N962" s="1"/>
      <c r="T962" s="122"/>
      <c r="U962" s="122"/>
      <c r="V962" s="79"/>
      <c r="W962" s="81"/>
    </row>
    <row r="963" spans="10:23" ht="13">
      <c r="J963" s="122"/>
      <c r="K963" s="122"/>
      <c r="L963" s="87"/>
      <c r="N963" s="1"/>
      <c r="T963" s="122"/>
      <c r="U963" s="122"/>
      <c r="V963" s="79"/>
      <c r="W963" s="81"/>
    </row>
    <row r="964" spans="10:23" ht="13">
      <c r="J964" s="122"/>
      <c r="K964" s="122"/>
      <c r="L964" s="87"/>
      <c r="N964" s="1"/>
      <c r="T964" s="122"/>
      <c r="U964" s="122"/>
      <c r="V964" s="79"/>
      <c r="W964" s="81"/>
    </row>
    <row r="965" spans="10:23" ht="13">
      <c r="J965" s="122"/>
      <c r="K965" s="122"/>
      <c r="L965" s="87"/>
      <c r="N965" s="1"/>
      <c r="T965" s="122"/>
      <c r="U965" s="122"/>
      <c r="V965" s="79"/>
      <c r="W965" s="81"/>
    </row>
    <row r="966" spans="10:23" ht="13">
      <c r="J966" s="122"/>
      <c r="K966" s="122"/>
      <c r="L966" s="87"/>
      <c r="N966" s="1"/>
      <c r="T966" s="122"/>
      <c r="U966" s="122"/>
      <c r="V966" s="79"/>
      <c r="W966" s="81"/>
    </row>
    <row r="967" spans="10:23" ht="13">
      <c r="J967" s="122"/>
      <c r="K967" s="122"/>
      <c r="L967" s="87"/>
      <c r="N967" s="1"/>
      <c r="T967" s="122"/>
      <c r="U967" s="122"/>
      <c r="V967" s="79"/>
      <c r="W967" s="81"/>
    </row>
    <row r="968" spans="10:23" ht="13">
      <c r="J968" s="122"/>
      <c r="K968" s="122"/>
      <c r="L968" s="87"/>
      <c r="N968" s="1"/>
      <c r="T968" s="122"/>
      <c r="U968" s="122"/>
      <c r="V968" s="79"/>
      <c r="W968" s="81"/>
    </row>
    <row r="969" spans="10:23" ht="13">
      <c r="J969" s="122"/>
      <c r="K969" s="122"/>
      <c r="L969" s="87"/>
      <c r="N969" s="1"/>
      <c r="T969" s="122"/>
      <c r="U969" s="122"/>
      <c r="V969" s="79"/>
      <c r="W969" s="81"/>
    </row>
    <row r="970" spans="10:23" ht="13">
      <c r="J970" s="122"/>
      <c r="K970" s="122"/>
      <c r="L970" s="87"/>
      <c r="N970" s="1"/>
      <c r="T970" s="122"/>
      <c r="U970" s="122"/>
      <c r="V970" s="79"/>
      <c r="W970" s="81"/>
    </row>
    <row r="971" spans="10:23" ht="13">
      <c r="J971" s="122"/>
      <c r="K971" s="122"/>
      <c r="L971" s="87"/>
      <c r="N971" s="1"/>
      <c r="T971" s="122"/>
      <c r="U971" s="122"/>
      <c r="V971" s="79"/>
      <c r="W971" s="81"/>
    </row>
    <row r="972" spans="10:23" ht="13">
      <c r="J972" s="122"/>
      <c r="K972" s="122"/>
      <c r="L972" s="87"/>
      <c r="N972" s="1"/>
      <c r="T972" s="122"/>
      <c r="U972" s="122"/>
      <c r="V972" s="79"/>
      <c r="W972" s="81"/>
    </row>
    <row r="973" spans="10:23" ht="13">
      <c r="J973" s="122"/>
      <c r="K973" s="122"/>
      <c r="L973" s="87"/>
      <c r="N973" s="1"/>
      <c r="T973" s="122"/>
      <c r="U973" s="122"/>
      <c r="V973" s="79"/>
      <c r="W973" s="81"/>
    </row>
    <row r="974" spans="10:23" ht="13">
      <c r="J974" s="122"/>
      <c r="K974" s="122"/>
      <c r="L974" s="87"/>
      <c r="N974" s="1"/>
      <c r="T974" s="122"/>
      <c r="U974" s="122"/>
      <c r="V974" s="79"/>
      <c r="W974" s="81"/>
    </row>
    <row r="975" spans="10:23" ht="13">
      <c r="J975" s="122"/>
      <c r="K975" s="122"/>
      <c r="L975" s="87"/>
      <c r="N975" s="1"/>
      <c r="T975" s="122"/>
      <c r="U975" s="122"/>
      <c r="V975" s="79"/>
      <c r="W975" s="81"/>
    </row>
    <row r="976" spans="10:23" ht="13">
      <c r="J976" s="122"/>
      <c r="K976" s="122"/>
      <c r="L976" s="87"/>
      <c r="N976" s="1"/>
      <c r="T976" s="122"/>
      <c r="U976" s="122"/>
      <c r="V976" s="79"/>
      <c r="W976" s="81"/>
    </row>
    <row r="977" spans="10:23" ht="13">
      <c r="J977" s="122"/>
      <c r="K977" s="122"/>
      <c r="L977" s="87"/>
      <c r="N977" s="1"/>
      <c r="T977" s="122"/>
      <c r="U977" s="122"/>
      <c r="V977" s="79"/>
      <c r="W977" s="81"/>
    </row>
    <row r="978" spans="10:23" ht="13">
      <c r="J978" s="122"/>
      <c r="K978" s="122"/>
      <c r="L978" s="87"/>
      <c r="N978" s="1"/>
      <c r="T978" s="122"/>
      <c r="U978" s="122"/>
      <c r="V978" s="79"/>
      <c r="W978" s="81"/>
    </row>
    <row r="979" spans="10:23" ht="13">
      <c r="J979" s="122"/>
      <c r="K979" s="122"/>
      <c r="L979" s="87"/>
      <c r="N979" s="1"/>
      <c r="T979" s="122"/>
      <c r="U979" s="122"/>
      <c r="V979" s="79"/>
      <c r="W979" s="81"/>
    </row>
    <row r="980" spans="10:23" ht="13">
      <c r="J980" s="122"/>
      <c r="K980" s="122"/>
      <c r="L980" s="87"/>
      <c r="N980" s="1"/>
      <c r="T980" s="122"/>
      <c r="U980" s="122"/>
      <c r="V980" s="79"/>
      <c r="W980" s="81"/>
    </row>
    <row r="981" spans="10:23" ht="13">
      <c r="J981" s="122"/>
      <c r="K981" s="122"/>
      <c r="L981" s="87"/>
      <c r="N981" s="1"/>
      <c r="T981" s="122"/>
      <c r="U981" s="122"/>
      <c r="V981" s="79"/>
      <c r="W981" s="81"/>
    </row>
    <row r="982" spans="10:23" ht="13">
      <c r="J982" s="122"/>
      <c r="K982" s="122"/>
      <c r="L982" s="87"/>
      <c r="N982" s="1"/>
      <c r="T982" s="122"/>
      <c r="U982" s="122"/>
      <c r="V982" s="79"/>
      <c r="W982" s="81"/>
    </row>
    <row r="983" spans="10:23" ht="13">
      <c r="J983" s="122"/>
      <c r="K983" s="122"/>
      <c r="L983" s="87"/>
      <c r="N983" s="1"/>
      <c r="T983" s="122"/>
      <c r="U983" s="122"/>
      <c r="V983" s="79"/>
      <c r="W983" s="81"/>
    </row>
    <row r="984" spans="10:23" ht="13">
      <c r="J984" s="122"/>
      <c r="K984" s="122"/>
      <c r="L984" s="87"/>
      <c r="N984" s="1"/>
      <c r="T984" s="122"/>
      <c r="U984" s="122"/>
      <c r="V984" s="79"/>
      <c r="W984" s="81"/>
    </row>
    <row r="985" spans="10:23" ht="13">
      <c r="J985" s="122"/>
      <c r="K985" s="122"/>
      <c r="L985" s="87"/>
      <c r="N985" s="1"/>
      <c r="T985" s="122"/>
      <c r="U985" s="122"/>
      <c r="V985" s="79"/>
      <c r="W985" s="81"/>
    </row>
    <row r="986" spans="10:23" ht="13">
      <c r="J986" s="122"/>
      <c r="K986" s="122"/>
      <c r="L986" s="87"/>
      <c r="N986" s="1"/>
      <c r="T986" s="122"/>
      <c r="U986" s="122"/>
      <c r="V986" s="79"/>
      <c r="W986" s="81"/>
    </row>
    <row r="987" spans="10:23" ht="13">
      <c r="J987" s="122"/>
      <c r="K987" s="122"/>
      <c r="L987" s="87"/>
      <c r="N987" s="1"/>
      <c r="T987" s="122"/>
      <c r="U987" s="122"/>
      <c r="V987" s="79"/>
      <c r="W987" s="81"/>
    </row>
    <row r="988" spans="10:23" ht="13">
      <c r="J988" s="122"/>
      <c r="K988" s="122"/>
      <c r="L988" s="87"/>
      <c r="N988" s="1"/>
      <c r="T988" s="122"/>
      <c r="U988" s="122"/>
      <c r="V988" s="79"/>
      <c r="W988" s="81"/>
    </row>
    <row r="989" spans="10:23" ht="13">
      <c r="J989" s="122"/>
      <c r="K989" s="122"/>
      <c r="L989" s="87"/>
      <c r="N989" s="1"/>
      <c r="T989" s="122"/>
      <c r="U989" s="122"/>
      <c r="V989" s="79"/>
      <c r="W989" s="81"/>
    </row>
    <row r="990" spans="10:23" ht="13">
      <c r="J990" s="122"/>
      <c r="K990" s="122"/>
      <c r="L990" s="87"/>
      <c r="N990" s="1"/>
      <c r="T990" s="122"/>
      <c r="U990" s="122"/>
      <c r="V990" s="79"/>
      <c r="W990" s="81"/>
    </row>
    <row r="991" spans="10:23" ht="13">
      <c r="J991" s="122"/>
      <c r="K991" s="122"/>
      <c r="L991" s="87"/>
      <c r="N991" s="1"/>
      <c r="T991" s="122"/>
      <c r="U991" s="122"/>
      <c r="V991" s="79"/>
      <c r="W991" s="81"/>
    </row>
    <row r="992" spans="10:23" ht="13">
      <c r="J992" s="122"/>
      <c r="K992" s="122"/>
      <c r="L992" s="87"/>
      <c r="N992" s="1"/>
      <c r="T992" s="122"/>
      <c r="U992" s="122"/>
      <c r="V992" s="79"/>
      <c r="W992" s="81"/>
    </row>
    <row r="993" spans="10:23" ht="13">
      <c r="J993" s="122"/>
      <c r="K993" s="122"/>
      <c r="L993" s="87"/>
      <c r="N993" s="1"/>
      <c r="T993" s="122"/>
      <c r="U993" s="122"/>
      <c r="V993" s="79"/>
      <c r="W993" s="81"/>
    </row>
    <row r="994" spans="10:23" ht="13">
      <c r="J994" s="122"/>
      <c r="K994" s="122"/>
      <c r="L994" s="87"/>
      <c r="N994" s="1"/>
      <c r="T994" s="122"/>
      <c r="U994" s="122"/>
      <c r="V994" s="79"/>
      <c r="W994" s="81"/>
    </row>
    <row r="995" spans="10:23" ht="13">
      <c r="J995" s="122"/>
      <c r="K995" s="122"/>
      <c r="L995" s="87"/>
      <c r="N995" s="1"/>
      <c r="T995" s="122"/>
      <c r="U995" s="122"/>
      <c r="V995" s="79"/>
      <c r="W995" s="81"/>
    </row>
    <row r="996" spans="10:23" ht="13">
      <c r="J996" s="122"/>
      <c r="K996" s="122"/>
      <c r="L996" s="87"/>
      <c r="N996" s="1"/>
      <c r="T996" s="122"/>
      <c r="U996" s="122"/>
      <c r="V996" s="79"/>
      <c r="W996" s="81"/>
    </row>
    <row r="997" spans="10:23" ht="13">
      <c r="J997" s="122"/>
      <c r="K997" s="122"/>
      <c r="L997" s="87"/>
      <c r="N997" s="1"/>
      <c r="T997" s="122"/>
      <c r="U997" s="122"/>
      <c r="V997" s="79"/>
      <c r="W997" s="81"/>
    </row>
    <row r="998" spans="10:23" ht="13">
      <c r="J998" s="122"/>
      <c r="K998" s="122"/>
      <c r="L998" s="87"/>
      <c r="N998" s="1"/>
      <c r="T998" s="122"/>
      <c r="U998" s="122"/>
      <c r="V998" s="79"/>
      <c r="W998" s="81"/>
    </row>
    <row r="999" spans="10:23" ht="13">
      <c r="J999" s="122"/>
      <c r="K999" s="122"/>
      <c r="L999" s="87"/>
      <c r="N999" s="1"/>
      <c r="T999" s="122"/>
      <c r="U999" s="122"/>
      <c r="V999" s="79"/>
      <c r="W999" s="81"/>
    </row>
  </sheetData>
  <autoFilter ref="A1:AF81" xr:uid="{00000000-0009-0000-0000-000001000000}"/>
  <conditionalFormatting sqref="B1:B999">
    <cfRule type="notContainsBlanks" dxfId="1" priority="1">
      <formula>LEN(TRIM(B1))&gt;0</formula>
    </cfRule>
  </conditionalFormatting>
  <dataValidations count="2">
    <dataValidation type="list" allowBlank="1" showErrorMessage="1" sqref="L2:L81" xr:uid="{00000000-0002-0000-0100-000000000000}">
      <formula1>"Forest &amp; Wildlife Clearance,Land Acquisition,Phase wise Sanctioning,Law and Order Issue,No Delay,Utility Shifting"</formula1>
    </dataValidation>
    <dataValidation type="list" allowBlank="1" showErrorMessage="1" sqref="W2:W81" xr:uid="{00000000-0002-0000-0100-000001000000}">
      <formula1>"Change in Scope of Work based on Actual Field requirement,Market Inflation increase in cost of raw material,Escalation in Land Acquisition value,Administrative reason,Uncertainity in Geological Condition,No Cost overrun"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969"/>
  <sheetViews>
    <sheetView workbookViewId="0">
      <pane ySplit="1" topLeftCell="A2" activePane="bottomLeft" state="frozen"/>
      <selection pane="bottomLeft" activeCell="B3" sqref="B3"/>
    </sheetView>
  </sheetViews>
  <sheetFormatPr baseColWidth="10" defaultColWidth="12.6640625" defaultRowHeight="15.75" customHeight="1"/>
  <cols>
    <col min="4" max="4" width="31" customWidth="1"/>
    <col min="10" max="10" width="14.6640625" customWidth="1"/>
    <col min="11" max="11" width="41.6640625" customWidth="1"/>
    <col min="12" max="12" width="60.6640625" customWidth="1"/>
    <col min="13" max="13" width="14" customWidth="1"/>
    <col min="14" max="14" width="15" customWidth="1"/>
    <col min="16" max="16" width="87.1640625" customWidth="1"/>
    <col min="17" max="18" width="29.83203125" customWidth="1"/>
  </cols>
  <sheetData>
    <row r="1" spans="1:18" ht="42">
      <c r="A1" s="2" t="s">
        <v>0</v>
      </c>
      <c r="B1" s="2" t="s">
        <v>1</v>
      </c>
      <c r="C1" s="2" t="s">
        <v>2</v>
      </c>
      <c r="D1" s="2" t="s">
        <v>3</v>
      </c>
      <c r="E1" s="2" t="s">
        <v>5</v>
      </c>
      <c r="F1" s="2" t="s">
        <v>6</v>
      </c>
      <c r="G1" s="2" t="s">
        <v>7</v>
      </c>
      <c r="H1" s="8" t="s">
        <v>9</v>
      </c>
      <c r="I1" s="8" t="s">
        <v>13</v>
      </c>
      <c r="J1" s="8" t="s">
        <v>16</v>
      </c>
      <c r="K1" s="8" t="s">
        <v>17</v>
      </c>
      <c r="L1" s="9" t="s">
        <v>18</v>
      </c>
      <c r="M1" s="10" t="s">
        <v>19</v>
      </c>
      <c r="N1" s="10" t="s">
        <v>21</v>
      </c>
      <c r="O1" s="10" t="s">
        <v>23</v>
      </c>
      <c r="P1" s="10" t="s">
        <v>25</v>
      </c>
      <c r="Q1" s="12" t="s">
        <v>28</v>
      </c>
      <c r="R1" s="14" t="s">
        <v>33</v>
      </c>
    </row>
    <row r="2" spans="1:18" ht="37.5" customHeight="1">
      <c r="A2" s="15">
        <v>1</v>
      </c>
      <c r="B2" s="15" t="s">
        <v>34</v>
      </c>
      <c r="C2" s="15" t="s">
        <v>35</v>
      </c>
      <c r="D2" s="16" t="s">
        <v>36</v>
      </c>
      <c r="E2" s="15" t="s">
        <v>37</v>
      </c>
      <c r="F2" s="15">
        <v>2019</v>
      </c>
      <c r="G2" s="15">
        <v>84</v>
      </c>
      <c r="H2" s="18"/>
      <c r="I2" s="18">
        <v>46111</v>
      </c>
      <c r="J2" s="20"/>
      <c r="K2" s="20"/>
      <c r="L2" s="22" t="s">
        <v>40</v>
      </c>
      <c r="M2" s="20"/>
      <c r="N2" s="20"/>
      <c r="O2" s="20"/>
      <c r="P2" s="20"/>
      <c r="Q2" s="24"/>
      <c r="R2" s="20"/>
    </row>
    <row r="3" spans="1:18" ht="14">
      <c r="A3" s="15">
        <v>2</v>
      </c>
      <c r="B3" s="15" t="s">
        <v>34</v>
      </c>
      <c r="C3" s="15" t="s">
        <v>35</v>
      </c>
      <c r="D3" s="16" t="s">
        <v>44</v>
      </c>
      <c r="E3" s="15" t="s">
        <v>37</v>
      </c>
      <c r="F3" s="15">
        <v>2019</v>
      </c>
      <c r="G3" s="15">
        <v>51</v>
      </c>
      <c r="H3" s="18"/>
      <c r="I3" s="18">
        <v>46109</v>
      </c>
      <c r="J3" s="20"/>
      <c r="K3" s="20"/>
      <c r="L3" s="22" t="s">
        <v>24</v>
      </c>
      <c r="M3" s="20"/>
      <c r="N3" s="20"/>
      <c r="O3" s="20"/>
      <c r="P3" s="20"/>
      <c r="Q3" s="24"/>
      <c r="R3" s="20"/>
    </row>
    <row r="4" spans="1:18" ht="14">
      <c r="A4" s="29">
        <v>14</v>
      </c>
      <c r="B4" s="29" t="s">
        <v>34</v>
      </c>
      <c r="C4" s="29" t="s">
        <v>46</v>
      </c>
      <c r="D4" s="30" t="s">
        <v>47</v>
      </c>
      <c r="E4" s="29" t="s">
        <v>48</v>
      </c>
      <c r="F4" s="29">
        <v>2016</v>
      </c>
      <c r="G4" s="29">
        <v>132</v>
      </c>
      <c r="H4" s="33"/>
      <c r="I4" s="33">
        <v>46049</v>
      </c>
      <c r="J4" s="20"/>
      <c r="K4" s="20"/>
      <c r="L4" s="22" t="s">
        <v>22</v>
      </c>
      <c r="M4" s="20"/>
      <c r="N4" s="20"/>
      <c r="O4" s="20"/>
      <c r="P4" s="20"/>
      <c r="Q4" s="24"/>
      <c r="R4" s="20"/>
    </row>
    <row r="5" spans="1:18" ht="14">
      <c r="A5" s="15">
        <v>15</v>
      </c>
      <c r="B5" s="15" t="s">
        <v>34</v>
      </c>
      <c r="C5" s="15" t="s">
        <v>46</v>
      </c>
      <c r="D5" s="16" t="s">
        <v>53</v>
      </c>
      <c r="E5" s="15" t="s">
        <v>54</v>
      </c>
      <c r="F5" s="15">
        <v>2016</v>
      </c>
      <c r="G5" s="15">
        <v>280</v>
      </c>
      <c r="H5" s="18"/>
      <c r="I5" s="18">
        <v>46109</v>
      </c>
      <c r="J5" s="20"/>
      <c r="K5" s="20"/>
      <c r="L5" s="22" t="s">
        <v>45</v>
      </c>
      <c r="M5" s="20"/>
      <c r="N5" s="20"/>
      <c r="O5" s="20"/>
      <c r="P5" s="20"/>
      <c r="Q5" s="24"/>
      <c r="R5" s="20"/>
    </row>
    <row r="6" spans="1:18" ht="14">
      <c r="A6" s="29">
        <v>16</v>
      </c>
      <c r="B6" s="29" t="s">
        <v>34</v>
      </c>
      <c r="C6" s="29" t="s">
        <v>46</v>
      </c>
      <c r="D6" s="30" t="s">
        <v>58</v>
      </c>
      <c r="E6" s="29" t="s">
        <v>59</v>
      </c>
      <c r="F6" s="29">
        <v>2017</v>
      </c>
      <c r="G6" s="29">
        <v>79</v>
      </c>
      <c r="H6" s="33"/>
      <c r="I6" s="33">
        <v>46108</v>
      </c>
      <c r="J6" s="20"/>
      <c r="K6" s="20"/>
      <c r="L6" s="22" t="s">
        <v>40</v>
      </c>
      <c r="M6" s="20"/>
      <c r="N6" s="20"/>
      <c r="O6" s="20"/>
      <c r="P6" s="20"/>
      <c r="Q6" s="24"/>
      <c r="R6" s="20"/>
    </row>
    <row r="7" spans="1:18" ht="14">
      <c r="A7" s="15">
        <v>3</v>
      </c>
      <c r="B7" s="15" t="s">
        <v>61</v>
      </c>
      <c r="C7" s="15" t="s">
        <v>35</v>
      </c>
      <c r="D7" s="16" t="s">
        <v>62</v>
      </c>
      <c r="E7" s="15" t="s">
        <v>59</v>
      </c>
      <c r="F7" s="15">
        <v>2018</v>
      </c>
      <c r="G7" s="15">
        <v>130</v>
      </c>
      <c r="H7" s="18"/>
      <c r="I7" s="18">
        <v>46325</v>
      </c>
      <c r="J7" s="20"/>
      <c r="K7" s="20"/>
      <c r="L7" s="22" t="s">
        <v>66</v>
      </c>
      <c r="M7" s="40">
        <v>2343.64</v>
      </c>
      <c r="N7" s="40">
        <v>2343.64</v>
      </c>
      <c r="O7" s="40">
        <f t="shared" ref="O7:O8" si="0">N7-M7</f>
        <v>0</v>
      </c>
      <c r="P7" s="20" t="s">
        <v>72</v>
      </c>
      <c r="Q7" s="24"/>
      <c r="R7" s="20"/>
    </row>
    <row r="8" spans="1:18" ht="14">
      <c r="A8" s="15">
        <v>4</v>
      </c>
      <c r="B8" s="15" t="s">
        <v>61</v>
      </c>
      <c r="C8" s="15" t="s">
        <v>35</v>
      </c>
      <c r="D8" s="16" t="s">
        <v>73</v>
      </c>
      <c r="E8" s="15" t="s">
        <v>59</v>
      </c>
      <c r="F8" s="15">
        <v>2017</v>
      </c>
      <c r="G8" s="15">
        <v>41</v>
      </c>
      <c r="H8" s="15" t="s">
        <v>74</v>
      </c>
      <c r="I8" s="18">
        <v>46325</v>
      </c>
      <c r="J8" s="20" t="s">
        <v>75</v>
      </c>
      <c r="K8" s="20" t="s">
        <v>76</v>
      </c>
      <c r="L8" s="22" t="s">
        <v>22</v>
      </c>
      <c r="M8" s="40">
        <v>747.91</v>
      </c>
      <c r="N8" s="40">
        <v>747.91</v>
      </c>
      <c r="O8" s="40">
        <f t="shared" si="0"/>
        <v>0</v>
      </c>
      <c r="P8" s="20" t="s">
        <v>72</v>
      </c>
      <c r="Q8" s="24"/>
      <c r="R8" s="20"/>
    </row>
    <row r="9" spans="1:18" ht="319">
      <c r="A9" s="15">
        <v>17</v>
      </c>
      <c r="B9" s="15" t="s">
        <v>61</v>
      </c>
      <c r="C9" s="15" t="s">
        <v>46</v>
      </c>
      <c r="D9" s="16" t="s">
        <v>79</v>
      </c>
      <c r="E9" s="15" t="s">
        <v>54</v>
      </c>
      <c r="F9" s="15">
        <v>2015</v>
      </c>
      <c r="G9" s="15">
        <v>265</v>
      </c>
      <c r="H9" s="15" t="s">
        <v>80</v>
      </c>
      <c r="I9" s="18">
        <v>46109</v>
      </c>
      <c r="J9" s="20" t="s">
        <v>81</v>
      </c>
      <c r="K9" s="20" t="s">
        <v>72</v>
      </c>
      <c r="L9" s="22" t="s">
        <v>45</v>
      </c>
      <c r="M9" s="20" t="s">
        <v>83</v>
      </c>
      <c r="N9" s="20" t="s">
        <v>84</v>
      </c>
      <c r="O9" s="20" t="s">
        <v>85</v>
      </c>
      <c r="P9" s="20" t="s">
        <v>89</v>
      </c>
      <c r="Q9" s="24" t="s">
        <v>90</v>
      </c>
      <c r="R9" s="20"/>
    </row>
    <row r="10" spans="1:18" ht="168">
      <c r="A10" s="15">
        <v>18</v>
      </c>
      <c r="B10" s="15" t="s">
        <v>61</v>
      </c>
      <c r="C10" s="15" t="s">
        <v>46</v>
      </c>
      <c r="D10" s="16" t="s">
        <v>92</v>
      </c>
      <c r="E10" s="15" t="s">
        <v>48</v>
      </c>
      <c r="F10" s="15">
        <v>2015</v>
      </c>
      <c r="G10" s="15">
        <v>101</v>
      </c>
      <c r="H10" s="18">
        <v>46344</v>
      </c>
      <c r="I10" s="18">
        <v>46109</v>
      </c>
      <c r="J10" s="20" t="s">
        <v>94</v>
      </c>
      <c r="K10" s="20" t="s">
        <v>97</v>
      </c>
      <c r="L10" s="22" t="s">
        <v>22</v>
      </c>
      <c r="M10" s="46" t="s">
        <v>99</v>
      </c>
      <c r="N10" s="47" t="s">
        <v>101</v>
      </c>
      <c r="O10" s="47" t="s">
        <v>103</v>
      </c>
      <c r="P10" s="48" t="s">
        <v>105</v>
      </c>
      <c r="Q10" s="24" t="s">
        <v>90</v>
      </c>
      <c r="R10" s="47" t="s">
        <v>107</v>
      </c>
    </row>
    <row r="11" spans="1:18" ht="266">
      <c r="A11" s="29">
        <v>19</v>
      </c>
      <c r="B11" s="29" t="s">
        <v>61</v>
      </c>
      <c r="C11" s="29" t="s">
        <v>46</v>
      </c>
      <c r="D11" s="30" t="s">
        <v>112</v>
      </c>
      <c r="E11" s="29" t="s">
        <v>48</v>
      </c>
      <c r="F11" s="29">
        <v>2015</v>
      </c>
      <c r="G11" s="29">
        <v>170</v>
      </c>
      <c r="H11" s="29" t="s">
        <v>113</v>
      </c>
      <c r="I11" s="33">
        <v>46382</v>
      </c>
      <c r="J11" s="20" t="s">
        <v>114</v>
      </c>
      <c r="K11" s="20" t="s">
        <v>115</v>
      </c>
      <c r="L11" s="22" t="s">
        <v>22</v>
      </c>
      <c r="M11" s="47" t="s">
        <v>117</v>
      </c>
      <c r="N11" s="47" t="s">
        <v>118</v>
      </c>
      <c r="O11" s="47" t="s">
        <v>119</v>
      </c>
      <c r="P11" s="20" t="s">
        <v>123</v>
      </c>
      <c r="Q11" s="24" t="s">
        <v>90</v>
      </c>
      <c r="R11" s="20"/>
    </row>
    <row r="12" spans="1:18" ht="126">
      <c r="A12" s="15">
        <v>20</v>
      </c>
      <c r="B12" s="15" t="s">
        <v>61</v>
      </c>
      <c r="C12" s="15" t="s">
        <v>46</v>
      </c>
      <c r="D12" s="16" t="s">
        <v>128</v>
      </c>
      <c r="E12" s="15" t="s">
        <v>48</v>
      </c>
      <c r="F12" s="15">
        <v>2015</v>
      </c>
      <c r="G12" s="15">
        <v>189</v>
      </c>
      <c r="H12" s="15" t="s">
        <v>130</v>
      </c>
      <c r="I12" s="18">
        <v>46110</v>
      </c>
      <c r="J12" s="47" t="s">
        <v>131</v>
      </c>
      <c r="K12" s="20" t="s">
        <v>133</v>
      </c>
      <c r="L12" s="22" t="s">
        <v>45</v>
      </c>
      <c r="M12" s="51">
        <v>2499.71</v>
      </c>
      <c r="N12" s="52">
        <v>4378.51</v>
      </c>
      <c r="O12" s="53">
        <v>1878.8000000000002</v>
      </c>
      <c r="P12" s="20" t="s">
        <v>140</v>
      </c>
      <c r="Q12" s="24" t="s">
        <v>143</v>
      </c>
      <c r="R12" s="20"/>
    </row>
    <row r="13" spans="1:18" ht="70">
      <c r="A13" s="15">
        <v>21</v>
      </c>
      <c r="B13" s="15" t="s">
        <v>61</v>
      </c>
      <c r="C13" s="15" t="s">
        <v>46</v>
      </c>
      <c r="D13" s="16" t="s">
        <v>147</v>
      </c>
      <c r="E13" s="15" t="s">
        <v>48</v>
      </c>
      <c r="F13" s="15">
        <v>2015</v>
      </c>
      <c r="G13" s="15">
        <v>165</v>
      </c>
      <c r="H13" s="15" t="s">
        <v>149</v>
      </c>
      <c r="I13" s="18">
        <v>46109</v>
      </c>
      <c r="J13" s="47" t="s">
        <v>151</v>
      </c>
      <c r="K13" s="20"/>
      <c r="L13" s="22" t="s">
        <v>24</v>
      </c>
      <c r="M13" s="47" t="s">
        <v>152</v>
      </c>
      <c r="N13" s="47" t="s">
        <v>154</v>
      </c>
      <c r="O13" s="47" t="s">
        <v>155</v>
      </c>
      <c r="P13" s="20" t="s">
        <v>157</v>
      </c>
      <c r="Q13" s="24" t="s">
        <v>159</v>
      </c>
      <c r="R13" s="20" t="s">
        <v>160</v>
      </c>
    </row>
    <row r="14" spans="1:18" ht="42">
      <c r="A14" s="15">
        <v>22</v>
      </c>
      <c r="B14" s="15" t="s">
        <v>61</v>
      </c>
      <c r="C14" s="15" t="s">
        <v>46</v>
      </c>
      <c r="D14" s="16" t="s">
        <v>163</v>
      </c>
      <c r="E14" s="15" t="s">
        <v>48</v>
      </c>
      <c r="F14" s="15">
        <v>2015</v>
      </c>
      <c r="G14" s="15">
        <v>107</v>
      </c>
      <c r="H14" s="15" t="s">
        <v>130</v>
      </c>
      <c r="I14" s="18">
        <v>46383</v>
      </c>
      <c r="J14" s="47" t="s">
        <v>166</v>
      </c>
      <c r="K14" s="20" t="s">
        <v>168</v>
      </c>
      <c r="L14" s="22" t="s">
        <v>66</v>
      </c>
      <c r="M14" s="47" t="s">
        <v>169</v>
      </c>
      <c r="N14" s="40" t="s">
        <v>170</v>
      </c>
      <c r="O14" s="20" t="s">
        <v>171</v>
      </c>
      <c r="P14" s="20"/>
      <c r="Q14" s="24"/>
      <c r="R14" s="20"/>
    </row>
    <row r="15" spans="1:18" ht="14">
      <c r="A15" s="15">
        <v>5</v>
      </c>
      <c r="B15" s="15" t="s">
        <v>174</v>
      </c>
      <c r="C15" s="15" t="s">
        <v>35</v>
      </c>
      <c r="D15" s="16" t="s">
        <v>175</v>
      </c>
      <c r="E15" s="15" t="s">
        <v>37</v>
      </c>
      <c r="F15" s="15">
        <v>2019</v>
      </c>
      <c r="G15" s="15">
        <v>20</v>
      </c>
      <c r="H15" s="18"/>
      <c r="I15" s="18">
        <v>46110</v>
      </c>
      <c r="J15" s="20"/>
      <c r="K15" s="20"/>
      <c r="L15" s="22" t="s">
        <v>22</v>
      </c>
      <c r="M15" s="20"/>
      <c r="N15" s="20"/>
      <c r="O15" s="20"/>
      <c r="P15" s="20"/>
      <c r="Q15" s="24"/>
      <c r="R15" s="20"/>
    </row>
    <row r="16" spans="1:18" ht="98">
      <c r="A16" s="15">
        <v>23</v>
      </c>
      <c r="B16" s="15" t="s">
        <v>174</v>
      </c>
      <c r="C16" s="15" t="s">
        <v>46</v>
      </c>
      <c r="D16" s="16" t="s">
        <v>182</v>
      </c>
      <c r="E16" s="15" t="s">
        <v>54</v>
      </c>
      <c r="F16" s="15">
        <v>2015</v>
      </c>
      <c r="G16" s="15">
        <v>291</v>
      </c>
      <c r="H16" s="15" t="s">
        <v>185</v>
      </c>
      <c r="I16" s="18">
        <v>46384</v>
      </c>
      <c r="J16" s="47" t="s">
        <v>186</v>
      </c>
      <c r="K16" s="55" t="s">
        <v>187</v>
      </c>
      <c r="L16" s="22" t="s">
        <v>27</v>
      </c>
      <c r="M16" s="40" t="s">
        <v>170</v>
      </c>
      <c r="N16" s="20" t="s">
        <v>188</v>
      </c>
      <c r="O16" s="20" t="s">
        <v>190</v>
      </c>
      <c r="P16" s="20" t="s">
        <v>193</v>
      </c>
      <c r="Q16" s="24" t="s">
        <v>91</v>
      </c>
      <c r="R16" s="20" t="s">
        <v>198</v>
      </c>
    </row>
    <row r="17" spans="1:18" ht="28">
      <c r="A17" s="29">
        <v>24</v>
      </c>
      <c r="B17" s="29" t="s">
        <v>174</v>
      </c>
      <c r="C17" s="29" t="s">
        <v>46</v>
      </c>
      <c r="D17" s="30" t="s">
        <v>199</v>
      </c>
      <c r="E17" s="29" t="s">
        <v>48</v>
      </c>
      <c r="F17" s="29">
        <v>2016</v>
      </c>
      <c r="G17" s="29">
        <v>14</v>
      </c>
      <c r="H17" s="33"/>
      <c r="I17" s="33">
        <v>46321</v>
      </c>
      <c r="J17" s="20"/>
      <c r="K17" s="20"/>
      <c r="L17" s="22" t="s">
        <v>45</v>
      </c>
      <c r="M17" s="20"/>
      <c r="N17" s="20"/>
      <c r="O17" s="20"/>
      <c r="P17" s="20"/>
      <c r="Q17" s="24"/>
      <c r="R17" s="20"/>
    </row>
    <row r="18" spans="1:18" ht="14">
      <c r="A18" s="29">
        <v>25</v>
      </c>
      <c r="B18" s="29" t="s">
        <v>174</v>
      </c>
      <c r="C18" s="29" t="s">
        <v>46</v>
      </c>
      <c r="D18" s="30" t="s">
        <v>204</v>
      </c>
      <c r="E18" s="29" t="s">
        <v>59</v>
      </c>
      <c r="F18" s="29">
        <v>2017</v>
      </c>
      <c r="G18" s="29">
        <v>110</v>
      </c>
      <c r="H18" s="33"/>
      <c r="I18" s="33">
        <v>46382</v>
      </c>
      <c r="J18" s="20"/>
      <c r="K18" s="20"/>
      <c r="L18" s="22" t="s">
        <v>22</v>
      </c>
      <c r="M18" s="20"/>
      <c r="N18" s="20"/>
      <c r="O18" s="20"/>
      <c r="P18" s="20"/>
      <c r="Q18" s="24"/>
      <c r="R18" s="20"/>
    </row>
    <row r="19" spans="1:18" ht="14">
      <c r="A19" s="15">
        <v>26</v>
      </c>
      <c r="B19" s="15" t="s">
        <v>174</v>
      </c>
      <c r="C19" s="15" t="s">
        <v>46</v>
      </c>
      <c r="D19" s="16" t="s">
        <v>206</v>
      </c>
      <c r="E19" s="15" t="s">
        <v>54</v>
      </c>
      <c r="F19" s="15">
        <v>2017</v>
      </c>
      <c r="G19" s="15">
        <v>2</v>
      </c>
      <c r="H19" s="18"/>
      <c r="I19" s="18">
        <v>46383</v>
      </c>
      <c r="J19" s="20"/>
      <c r="K19" s="20"/>
      <c r="L19" s="22" t="s">
        <v>24</v>
      </c>
      <c r="M19" s="20"/>
      <c r="N19" s="20"/>
      <c r="O19" s="20"/>
      <c r="P19" s="20"/>
      <c r="Q19" s="24"/>
      <c r="R19" s="20"/>
    </row>
    <row r="20" spans="1:18" ht="332">
      <c r="A20" s="15">
        <v>27</v>
      </c>
      <c r="B20" s="15" t="s">
        <v>174</v>
      </c>
      <c r="C20" s="15" t="s">
        <v>46</v>
      </c>
      <c r="D20" s="16" t="s">
        <v>212</v>
      </c>
      <c r="E20" s="15" t="s">
        <v>59</v>
      </c>
      <c r="F20" s="15">
        <v>2022</v>
      </c>
      <c r="G20" s="15">
        <v>101</v>
      </c>
      <c r="H20" s="15" t="s">
        <v>214</v>
      </c>
      <c r="I20" s="18">
        <v>46231</v>
      </c>
      <c r="J20" s="47" t="s">
        <v>216</v>
      </c>
      <c r="K20" s="20" t="s">
        <v>221</v>
      </c>
      <c r="L20" s="22" t="s">
        <v>24</v>
      </c>
      <c r="M20" s="47" t="s">
        <v>223</v>
      </c>
      <c r="N20" s="47" t="s">
        <v>224</v>
      </c>
      <c r="O20" s="47" t="s">
        <v>225</v>
      </c>
      <c r="P20" s="20" t="s">
        <v>226</v>
      </c>
      <c r="Q20" s="24" t="s">
        <v>91</v>
      </c>
      <c r="R20" s="20"/>
    </row>
    <row r="21" spans="1:18" ht="14">
      <c r="A21" s="29">
        <v>28</v>
      </c>
      <c r="B21" s="29" t="s">
        <v>174</v>
      </c>
      <c r="C21" s="29" t="s">
        <v>46</v>
      </c>
      <c r="D21" s="30" t="s">
        <v>230</v>
      </c>
      <c r="E21" s="29" t="s">
        <v>59</v>
      </c>
      <c r="F21" s="29">
        <v>2018</v>
      </c>
      <c r="G21" s="29">
        <v>42</v>
      </c>
      <c r="H21" s="33"/>
      <c r="I21" s="33">
        <v>46049</v>
      </c>
      <c r="J21" s="20"/>
      <c r="K21" s="20"/>
      <c r="L21" s="22" t="s">
        <v>45</v>
      </c>
      <c r="M21" s="20"/>
      <c r="N21" s="20"/>
      <c r="O21" s="20"/>
      <c r="P21" s="20"/>
      <c r="Q21" s="24"/>
      <c r="R21" s="20"/>
    </row>
    <row r="22" spans="1:18" ht="42">
      <c r="A22" s="15">
        <v>29</v>
      </c>
      <c r="B22" s="15" t="s">
        <v>234</v>
      </c>
      <c r="C22" s="15" t="s">
        <v>46</v>
      </c>
      <c r="D22" s="16" t="s">
        <v>235</v>
      </c>
      <c r="E22" s="15" t="s">
        <v>37</v>
      </c>
      <c r="F22" s="20"/>
      <c r="G22" s="15">
        <v>24</v>
      </c>
      <c r="H22" s="18">
        <v>46108</v>
      </c>
      <c r="I22" s="18">
        <v>46200</v>
      </c>
      <c r="J22" s="20" t="s">
        <v>151</v>
      </c>
      <c r="K22" s="20" t="s">
        <v>237</v>
      </c>
      <c r="L22" s="22" t="s">
        <v>22</v>
      </c>
      <c r="M22" s="20" t="s">
        <v>239</v>
      </c>
      <c r="N22" s="20" t="s">
        <v>241</v>
      </c>
      <c r="O22" s="20" t="s">
        <v>242</v>
      </c>
      <c r="P22" s="20" t="s">
        <v>244</v>
      </c>
      <c r="Q22" s="24" t="s">
        <v>91</v>
      </c>
      <c r="R22" s="20"/>
    </row>
    <row r="23" spans="1:18" ht="14">
      <c r="A23" s="29">
        <v>30</v>
      </c>
      <c r="B23" s="29" t="s">
        <v>245</v>
      </c>
      <c r="C23" s="29" t="s">
        <v>46</v>
      </c>
      <c r="D23" s="30" t="s">
        <v>247</v>
      </c>
      <c r="E23" s="29" t="s">
        <v>54</v>
      </c>
      <c r="F23" s="29">
        <v>2016</v>
      </c>
      <c r="G23" s="29">
        <v>153</v>
      </c>
      <c r="H23" s="33"/>
      <c r="I23" s="33">
        <v>46382</v>
      </c>
      <c r="J23" s="20"/>
      <c r="K23" s="20"/>
      <c r="L23" s="22" t="s">
        <v>45</v>
      </c>
      <c r="M23" s="20">
        <v>1212</v>
      </c>
      <c r="N23" s="20">
        <v>2001.63</v>
      </c>
      <c r="O23" s="20">
        <f>N23-M23</f>
        <v>789.63000000000011</v>
      </c>
      <c r="P23" s="20"/>
      <c r="Q23" s="24"/>
      <c r="R23" s="20"/>
    </row>
    <row r="24" spans="1:18" ht="154">
      <c r="A24" s="15">
        <v>31</v>
      </c>
      <c r="B24" s="15" t="s">
        <v>245</v>
      </c>
      <c r="C24" s="15" t="s">
        <v>46</v>
      </c>
      <c r="D24" s="16" t="s">
        <v>264</v>
      </c>
      <c r="E24" s="15" t="s">
        <v>54</v>
      </c>
      <c r="F24" s="15">
        <v>2016</v>
      </c>
      <c r="G24" s="15">
        <v>274</v>
      </c>
      <c r="H24" s="18">
        <v>46379</v>
      </c>
      <c r="I24" s="18">
        <v>46383</v>
      </c>
      <c r="J24" s="20" t="s">
        <v>266</v>
      </c>
      <c r="K24" s="20" t="s">
        <v>267</v>
      </c>
      <c r="L24" s="22" t="s">
        <v>41</v>
      </c>
      <c r="M24" s="20" t="s">
        <v>269</v>
      </c>
      <c r="N24" s="20" t="s">
        <v>270</v>
      </c>
      <c r="O24" s="20" t="s">
        <v>271</v>
      </c>
      <c r="P24" s="20" t="s">
        <v>273</v>
      </c>
      <c r="Q24" s="24" t="s">
        <v>257</v>
      </c>
      <c r="R24" s="20" t="s">
        <v>275</v>
      </c>
    </row>
    <row r="25" spans="1:18" ht="42">
      <c r="A25" s="15">
        <v>32</v>
      </c>
      <c r="B25" s="15" t="s">
        <v>245</v>
      </c>
      <c r="C25" s="15" t="s">
        <v>46</v>
      </c>
      <c r="D25" s="16" t="s">
        <v>277</v>
      </c>
      <c r="E25" s="15" t="s">
        <v>59</v>
      </c>
      <c r="F25" s="15">
        <v>2018</v>
      </c>
      <c r="G25" s="15">
        <v>431</v>
      </c>
      <c r="H25" s="15" t="s">
        <v>278</v>
      </c>
      <c r="I25" s="18">
        <v>46384</v>
      </c>
      <c r="J25" s="20" t="s">
        <v>172</v>
      </c>
      <c r="K25" s="20" t="s">
        <v>280</v>
      </c>
      <c r="L25" s="22"/>
      <c r="M25" s="20">
        <v>3000</v>
      </c>
      <c r="N25" s="20">
        <v>4330</v>
      </c>
      <c r="O25" s="20">
        <f t="shared" ref="O25:O26" si="1">N25-M25</f>
        <v>1330</v>
      </c>
      <c r="P25" s="20" t="s">
        <v>289</v>
      </c>
      <c r="Q25" s="24" t="s">
        <v>265</v>
      </c>
      <c r="R25" s="20"/>
    </row>
    <row r="26" spans="1:18" ht="14">
      <c r="A26" s="29">
        <v>33</v>
      </c>
      <c r="B26" s="29" t="s">
        <v>245</v>
      </c>
      <c r="C26" s="29" t="s">
        <v>46</v>
      </c>
      <c r="D26" s="30" t="s">
        <v>290</v>
      </c>
      <c r="E26" s="29" t="s">
        <v>54</v>
      </c>
      <c r="F26" s="29">
        <v>2017</v>
      </c>
      <c r="G26" s="29">
        <v>16</v>
      </c>
      <c r="H26" s="33"/>
      <c r="I26" s="33">
        <v>46049</v>
      </c>
      <c r="J26" s="20"/>
      <c r="K26" s="20"/>
      <c r="L26" s="22"/>
      <c r="M26" s="64">
        <v>260</v>
      </c>
      <c r="N26" s="64">
        <v>304.44</v>
      </c>
      <c r="O26" s="64">
        <f t="shared" si="1"/>
        <v>44.44</v>
      </c>
      <c r="P26" s="20"/>
      <c r="Q26" s="24"/>
      <c r="R26" s="20"/>
    </row>
    <row r="27" spans="1:18" ht="56">
      <c r="A27" s="15">
        <v>6</v>
      </c>
      <c r="B27" s="15" t="s">
        <v>294</v>
      </c>
      <c r="C27" s="15" t="s">
        <v>35</v>
      </c>
      <c r="D27" s="16" t="s">
        <v>295</v>
      </c>
      <c r="E27" s="15" t="s">
        <v>37</v>
      </c>
      <c r="F27" s="15">
        <v>2018</v>
      </c>
      <c r="G27" s="15">
        <v>240</v>
      </c>
      <c r="H27" s="18"/>
      <c r="I27" s="18">
        <v>46325</v>
      </c>
      <c r="J27" s="20"/>
      <c r="K27" s="20"/>
      <c r="L27" s="22"/>
      <c r="M27" s="20"/>
      <c r="N27" s="20"/>
      <c r="O27" s="20"/>
      <c r="P27" s="20"/>
      <c r="Q27" s="24"/>
      <c r="R27" s="20"/>
    </row>
    <row r="28" spans="1:18" ht="409.6">
      <c r="A28" s="29">
        <v>34</v>
      </c>
      <c r="B28" s="29" t="s">
        <v>294</v>
      </c>
      <c r="C28" s="29" t="s">
        <v>46</v>
      </c>
      <c r="D28" s="30" t="s">
        <v>301</v>
      </c>
      <c r="E28" s="29" t="s">
        <v>59</v>
      </c>
      <c r="F28" s="29">
        <v>2018</v>
      </c>
      <c r="G28" s="29">
        <v>117</v>
      </c>
      <c r="H28" s="29" t="s">
        <v>303</v>
      </c>
      <c r="I28" s="33">
        <v>46108</v>
      </c>
      <c r="J28" s="20" t="s">
        <v>304</v>
      </c>
      <c r="K28" s="20" t="s">
        <v>305</v>
      </c>
      <c r="L28" s="22" t="s">
        <v>45</v>
      </c>
      <c r="M28" s="20">
        <v>1177.96</v>
      </c>
      <c r="N28" s="20">
        <v>2529.46</v>
      </c>
      <c r="O28" s="20">
        <f t="shared" ref="O28:O29" si="2">N28-M28</f>
        <v>1351.5</v>
      </c>
      <c r="P28" s="69" t="s">
        <v>308</v>
      </c>
      <c r="Q28" s="24" t="s">
        <v>310</v>
      </c>
      <c r="R28" s="20"/>
    </row>
    <row r="29" spans="1:18" ht="345">
      <c r="A29" s="15">
        <v>35</v>
      </c>
      <c r="B29" s="15" t="s">
        <v>312</v>
      </c>
      <c r="C29" s="15" t="s">
        <v>46</v>
      </c>
      <c r="D29" s="16" t="s">
        <v>313</v>
      </c>
      <c r="E29" s="15" t="s">
        <v>54</v>
      </c>
      <c r="F29" s="15">
        <v>2016</v>
      </c>
      <c r="G29" s="15">
        <v>176</v>
      </c>
      <c r="H29" s="18">
        <v>46107</v>
      </c>
      <c r="I29" s="18">
        <v>46109</v>
      </c>
      <c r="J29" s="20" t="s">
        <v>254</v>
      </c>
      <c r="K29" s="20" t="s">
        <v>315</v>
      </c>
      <c r="L29" s="22" t="s">
        <v>45</v>
      </c>
      <c r="M29" s="20">
        <v>1925.07</v>
      </c>
      <c r="N29" s="20">
        <v>4983.9399999999996</v>
      </c>
      <c r="O29" s="20">
        <f t="shared" si="2"/>
        <v>3058.87</v>
      </c>
      <c r="P29" s="20" t="s">
        <v>316</v>
      </c>
      <c r="Q29" s="24" t="s">
        <v>257</v>
      </c>
      <c r="R29" s="20"/>
    </row>
    <row r="30" spans="1:18" ht="14">
      <c r="A30" s="15">
        <v>7</v>
      </c>
      <c r="B30" s="15" t="s">
        <v>318</v>
      </c>
      <c r="C30" s="15" t="s">
        <v>35</v>
      </c>
      <c r="D30" s="16" t="s">
        <v>320</v>
      </c>
      <c r="E30" s="15" t="s">
        <v>59</v>
      </c>
      <c r="F30" s="15">
        <v>2017</v>
      </c>
      <c r="G30" s="15">
        <v>26</v>
      </c>
      <c r="H30" s="18"/>
      <c r="I30" s="18">
        <v>46385</v>
      </c>
      <c r="J30" s="20"/>
      <c r="K30" s="20"/>
      <c r="L30" s="22" t="s">
        <v>66</v>
      </c>
      <c r="M30" s="20"/>
      <c r="N30" s="20"/>
      <c r="O30" s="20"/>
      <c r="P30" s="20"/>
      <c r="Q30" s="24"/>
      <c r="R30" s="20"/>
    </row>
    <row r="31" spans="1:18" ht="42">
      <c r="A31" s="29">
        <v>36</v>
      </c>
      <c r="B31" s="29" t="s">
        <v>318</v>
      </c>
      <c r="C31" s="29" t="s">
        <v>46</v>
      </c>
      <c r="D31" s="30" t="s">
        <v>324</v>
      </c>
      <c r="E31" s="29" t="s">
        <v>37</v>
      </c>
      <c r="F31" s="29">
        <v>2019</v>
      </c>
      <c r="G31" s="29">
        <v>19</v>
      </c>
      <c r="H31" s="33">
        <v>46197</v>
      </c>
      <c r="I31" s="33">
        <v>46080</v>
      </c>
      <c r="J31" s="20" t="s">
        <v>325</v>
      </c>
      <c r="K31" s="20" t="s">
        <v>326</v>
      </c>
      <c r="L31" s="22" t="s">
        <v>22</v>
      </c>
      <c r="M31" s="20">
        <v>237.64</v>
      </c>
      <c r="N31" s="20">
        <v>237.64</v>
      </c>
      <c r="O31" s="47" t="s">
        <v>107</v>
      </c>
      <c r="P31" s="47" t="s">
        <v>107</v>
      </c>
      <c r="Q31" s="24"/>
      <c r="R31" s="20" t="s">
        <v>329</v>
      </c>
    </row>
    <row r="32" spans="1:18" ht="28">
      <c r="A32" s="29">
        <v>37</v>
      </c>
      <c r="B32" s="29" t="s">
        <v>318</v>
      </c>
      <c r="C32" s="29" t="s">
        <v>46</v>
      </c>
      <c r="D32" s="30" t="s">
        <v>330</v>
      </c>
      <c r="E32" s="29" t="s">
        <v>37</v>
      </c>
      <c r="F32" s="29">
        <v>2019</v>
      </c>
      <c r="G32" s="29">
        <v>33</v>
      </c>
      <c r="H32" s="33"/>
      <c r="I32" s="33">
        <v>46049</v>
      </c>
      <c r="J32" s="20"/>
      <c r="K32" s="20"/>
      <c r="L32" s="22" t="s">
        <v>45</v>
      </c>
      <c r="M32" s="20"/>
      <c r="N32" s="20"/>
      <c r="O32" s="20"/>
      <c r="P32" s="20"/>
      <c r="Q32" s="24"/>
      <c r="R32" s="20"/>
    </row>
    <row r="33" spans="1:18" ht="14">
      <c r="A33" s="15">
        <v>12</v>
      </c>
      <c r="B33" s="15" t="s">
        <v>333</v>
      </c>
      <c r="C33" s="15" t="s">
        <v>35</v>
      </c>
      <c r="D33" s="16" t="s">
        <v>334</v>
      </c>
      <c r="E33" s="15" t="s">
        <v>37</v>
      </c>
      <c r="F33" s="15">
        <v>2025</v>
      </c>
      <c r="G33" s="15">
        <v>48</v>
      </c>
      <c r="H33" s="18"/>
      <c r="I33" s="18">
        <v>46382</v>
      </c>
      <c r="J33" s="20"/>
      <c r="K33" s="20"/>
      <c r="L33" s="22" t="s">
        <v>40</v>
      </c>
      <c r="M33" s="20"/>
      <c r="N33" s="20"/>
      <c r="O33" s="20"/>
      <c r="P33" s="20"/>
      <c r="Q33" s="24"/>
      <c r="R33" s="20"/>
    </row>
    <row r="34" spans="1:18" ht="42">
      <c r="A34" s="15">
        <v>13</v>
      </c>
      <c r="B34" s="15" t="s">
        <v>333</v>
      </c>
      <c r="C34" s="15" t="s">
        <v>49</v>
      </c>
      <c r="D34" s="16" t="s">
        <v>338</v>
      </c>
      <c r="E34" s="15" t="s">
        <v>59</v>
      </c>
      <c r="F34" s="15">
        <v>2023</v>
      </c>
      <c r="G34" s="15">
        <v>83</v>
      </c>
      <c r="H34" s="18"/>
      <c r="I34" s="18">
        <v>46201</v>
      </c>
      <c r="J34" s="20"/>
      <c r="K34" s="20"/>
      <c r="L34" s="22" t="s">
        <v>22</v>
      </c>
      <c r="M34" s="20"/>
      <c r="N34" s="20"/>
      <c r="O34" s="20"/>
      <c r="P34" s="20"/>
      <c r="Q34" s="24"/>
      <c r="R34" s="20"/>
    </row>
    <row r="35" spans="1:18" ht="28">
      <c r="A35" s="29">
        <v>38</v>
      </c>
      <c r="B35" s="29" t="s">
        <v>339</v>
      </c>
      <c r="C35" s="29" t="s">
        <v>46</v>
      </c>
      <c r="D35" s="30" t="s">
        <v>340</v>
      </c>
      <c r="E35" s="29" t="s">
        <v>54</v>
      </c>
      <c r="F35" s="29">
        <v>2016</v>
      </c>
      <c r="G35" s="29">
        <v>202</v>
      </c>
      <c r="H35" s="33"/>
      <c r="I35" s="33">
        <v>46382</v>
      </c>
      <c r="J35" s="20"/>
      <c r="K35" s="20"/>
      <c r="L35" s="22" t="s">
        <v>45</v>
      </c>
      <c r="M35" s="20"/>
      <c r="N35" s="20"/>
      <c r="O35" s="20"/>
      <c r="P35" s="20"/>
      <c r="Q35" s="24"/>
      <c r="R35" s="20"/>
    </row>
    <row r="36" spans="1:18" ht="14">
      <c r="A36" s="29">
        <v>39</v>
      </c>
      <c r="B36" s="29" t="s">
        <v>339</v>
      </c>
      <c r="C36" s="29" t="s">
        <v>46</v>
      </c>
      <c r="D36" s="30" t="s">
        <v>342</v>
      </c>
      <c r="E36" s="29" t="s">
        <v>54</v>
      </c>
      <c r="F36" s="29">
        <v>2016</v>
      </c>
      <c r="G36" s="29">
        <v>27</v>
      </c>
      <c r="H36" s="33"/>
      <c r="I36" s="33">
        <v>46108</v>
      </c>
      <c r="J36" s="20"/>
      <c r="K36" s="20"/>
      <c r="L36" s="22" t="s">
        <v>45</v>
      </c>
      <c r="M36" s="20"/>
      <c r="N36" s="20"/>
      <c r="O36" s="20"/>
      <c r="P36" s="20"/>
      <c r="Q36" s="24"/>
      <c r="R36" s="20"/>
    </row>
    <row r="37" spans="1:18" ht="14">
      <c r="A37" s="29">
        <v>40</v>
      </c>
      <c r="B37" s="29" t="s">
        <v>339</v>
      </c>
      <c r="C37" s="29" t="s">
        <v>46</v>
      </c>
      <c r="D37" s="30" t="s">
        <v>345</v>
      </c>
      <c r="E37" s="29" t="s">
        <v>54</v>
      </c>
      <c r="F37" s="29">
        <v>2016</v>
      </c>
      <c r="G37" s="29">
        <v>47</v>
      </c>
      <c r="H37" s="33"/>
      <c r="I37" s="33">
        <v>46382</v>
      </c>
      <c r="J37" s="20"/>
      <c r="K37" s="20"/>
      <c r="L37" s="22" t="s">
        <v>45</v>
      </c>
      <c r="M37" s="20"/>
      <c r="N37" s="20"/>
      <c r="O37" s="20"/>
      <c r="P37" s="20"/>
      <c r="Q37" s="24"/>
      <c r="R37" s="20"/>
    </row>
    <row r="38" spans="1:18" ht="196">
      <c r="A38" s="29">
        <v>41</v>
      </c>
      <c r="B38" s="29" t="s">
        <v>339</v>
      </c>
      <c r="C38" s="29" t="s">
        <v>46</v>
      </c>
      <c r="D38" s="30" t="s">
        <v>349</v>
      </c>
      <c r="E38" s="29" t="s">
        <v>54</v>
      </c>
      <c r="F38" s="29" t="s">
        <v>107</v>
      </c>
      <c r="G38" s="29">
        <v>287</v>
      </c>
      <c r="H38" s="29" t="s">
        <v>353</v>
      </c>
      <c r="I38" s="33">
        <v>46382</v>
      </c>
      <c r="J38" s="20" t="s">
        <v>354</v>
      </c>
      <c r="K38" s="20" t="s">
        <v>355</v>
      </c>
      <c r="L38" s="22" t="s">
        <v>22</v>
      </c>
      <c r="M38" s="20">
        <v>2423</v>
      </c>
      <c r="N38" s="20">
        <v>7082.81</v>
      </c>
      <c r="O38" s="20">
        <f>N38-M38</f>
        <v>4659.8100000000004</v>
      </c>
      <c r="P38" s="20" t="s">
        <v>358</v>
      </c>
      <c r="Q38" s="24" t="s">
        <v>257</v>
      </c>
      <c r="R38" s="20" t="s">
        <v>360</v>
      </c>
    </row>
    <row r="39" spans="1:18" ht="14">
      <c r="A39" s="15">
        <v>42</v>
      </c>
      <c r="B39" s="15" t="s">
        <v>339</v>
      </c>
      <c r="C39" s="15" t="s">
        <v>46</v>
      </c>
      <c r="D39" s="16" t="s">
        <v>361</v>
      </c>
      <c r="E39" s="15" t="s">
        <v>59</v>
      </c>
      <c r="F39" s="15">
        <v>2017</v>
      </c>
      <c r="G39" s="15">
        <v>401</v>
      </c>
      <c r="H39" s="18"/>
      <c r="I39" s="18">
        <v>46383</v>
      </c>
      <c r="J39" s="20"/>
      <c r="K39" s="20"/>
      <c r="L39" s="22" t="s">
        <v>45</v>
      </c>
      <c r="M39" s="20"/>
      <c r="N39" s="20"/>
      <c r="O39" s="20"/>
      <c r="P39" s="20"/>
      <c r="Q39" s="24"/>
      <c r="R39" s="20"/>
    </row>
    <row r="40" spans="1:18" ht="14">
      <c r="A40" s="15">
        <v>8</v>
      </c>
      <c r="B40" s="15" t="s">
        <v>367</v>
      </c>
      <c r="C40" s="15" t="s">
        <v>35</v>
      </c>
      <c r="D40" s="16" t="s">
        <v>368</v>
      </c>
      <c r="E40" s="15" t="s">
        <v>54</v>
      </c>
      <c r="F40" s="15">
        <v>2017</v>
      </c>
      <c r="G40" s="15">
        <v>63</v>
      </c>
      <c r="H40" s="18"/>
      <c r="I40" s="18">
        <v>46108</v>
      </c>
      <c r="J40" s="20"/>
      <c r="K40" s="20"/>
      <c r="L40" s="22" t="s">
        <v>22</v>
      </c>
      <c r="M40" s="20"/>
      <c r="N40" s="20"/>
      <c r="O40" s="20"/>
      <c r="P40" s="20"/>
      <c r="Q40" s="24"/>
      <c r="R40" s="20"/>
    </row>
    <row r="41" spans="1:18" ht="14">
      <c r="A41" s="15">
        <v>9</v>
      </c>
      <c r="B41" s="15" t="s">
        <v>367</v>
      </c>
      <c r="C41" s="15" t="s">
        <v>35</v>
      </c>
      <c r="D41" s="16" t="s">
        <v>369</v>
      </c>
      <c r="E41" s="15" t="s">
        <v>37</v>
      </c>
      <c r="F41" s="15">
        <v>2025</v>
      </c>
      <c r="G41" s="15">
        <v>17</v>
      </c>
      <c r="H41" s="18"/>
      <c r="I41" s="18">
        <v>46384</v>
      </c>
      <c r="J41" s="20"/>
      <c r="K41" s="20"/>
      <c r="L41" s="22" t="s">
        <v>40</v>
      </c>
      <c r="M41" s="20"/>
      <c r="N41" s="20"/>
      <c r="O41" s="20"/>
      <c r="P41" s="20"/>
      <c r="Q41" s="24"/>
      <c r="R41" s="20"/>
    </row>
    <row r="42" spans="1:18" ht="14">
      <c r="A42" s="29">
        <v>43</v>
      </c>
      <c r="B42" s="29" t="s">
        <v>367</v>
      </c>
      <c r="C42" s="29" t="s">
        <v>46</v>
      </c>
      <c r="D42" s="30" t="s">
        <v>372</v>
      </c>
      <c r="E42" s="29" t="s">
        <v>54</v>
      </c>
      <c r="F42" s="29">
        <v>2020</v>
      </c>
      <c r="G42" s="29">
        <v>206</v>
      </c>
      <c r="H42" s="33"/>
      <c r="I42" s="33">
        <v>46352</v>
      </c>
      <c r="J42" s="20"/>
      <c r="K42" s="20"/>
      <c r="L42" s="22" t="s">
        <v>22</v>
      </c>
      <c r="M42" s="20"/>
      <c r="N42" s="20"/>
      <c r="O42" s="20"/>
      <c r="P42" s="20"/>
      <c r="Q42" s="24"/>
      <c r="R42" s="20"/>
    </row>
    <row r="43" spans="1:18" ht="14">
      <c r="A43" s="15">
        <v>44</v>
      </c>
      <c r="B43" s="15" t="s">
        <v>367</v>
      </c>
      <c r="C43" s="15" t="s">
        <v>46</v>
      </c>
      <c r="D43" s="16" t="s">
        <v>375</v>
      </c>
      <c r="E43" s="15" t="s">
        <v>48</v>
      </c>
      <c r="F43" s="15">
        <v>2018</v>
      </c>
      <c r="G43" s="15">
        <v>135</v>
      </c>
      <c r="H43" s="18"/>
      <c r="I43" s="18">
        <v>46200</v>
      </c>
      <c r="J43" s="20"/>
      <c r="K43" s="20"/>
      <c r="L43" s="22" t="s">
        <v>40</v>
      </c>
      <c r="M43" s="20"/>
      <c r="N43" s="20"/>
      <c r="O43" s="20"/>
      <c r="P43" s="20"/>
      <c r="Q43" s="24"/>
      <c r="R43" s="20"/>
    </row>
    <row r="44" spans="1:18" ht="28">
      <c r="A44" s="15">
        <v>45</v>
      </c>
      <c r="B44" s="15" t="s">
        <v>367</v>
      </c>
      <c r="C44" s="15" t="s">
        <v>46</v>
      </c>
      <c r="D44" s="16" t="s">
        <v>376</v>
      </c>
      <c r="E44" s="15" t="s">
        <v>48</v>
      </c>
      <c r="F44" s="15">
        <v>2015</v>
      </c>
      <c r="G44" s="15">
        <v>10</v>
      </c>
      <c r="H44" s="18"/>
      <c r="I44" s="18">
        <v>46385</v>
      </c>
      <c r="J44" s="20"/>
      <c r="K44" s="20"/>
      <c r="L44" s="22" t="s">
        <v>45</v>
      </c>
      <c r="M44" s="20"/>
      <c r="N44" s="20"/>
      <c r="O44" s="20"/>
      <c r="P44" s="20"/>
      <c r="Q44" s="24"/>
      <c r="R44" s="20"/>
    </row>
    <row r="45" spans="1:18" ht="14">
      <c r="A45" s="29">
        <v>46</v>
      </c>
      <c r="B45" s="29" t="s">
        <v>367</v>
      </c>
      <c r="C45" s="29" t="s">
        <v>46</v>
      </c>
      <c r="D45" s="30" t="s">
        <v>378</v>
      </c>
      <c r="E45" s="29" t="s">
        <v>54</v>
      </c>
      <c r="F45" s="29">
        <v>2023</v>
      </c>
      <c r="G45" s="29">
        <v>228</v>
      </c>
      <c r="H45" s="33"/>
      <c r="I45" s="33">
        <v>46080</v>
      </c>
      <c r="J45" s="20"/>
      <c r="K45" s="20"/>
      <c r="L45" s="22" t="s">
        <v>66</v>
      </c>
      <c r="M45" s="20"/>
      <c r="N45" s="20"/>
      <c r="O45" s="20"/>
      <c r="P45" s="20"/>
      <c r="Q45" s="24"/>
      <c r="R45" s="20"/>
    </row>
    <row r="46" spans="1:18" ht="70">
      <c r="A46" s="29">
        <v>47</v>
      </c>
      <c r="B46" s="29" t="s">
        <v>367</v>
      </c>
      <c r="C46" s="29" t="s">
        <v>46</v>
      </c>
      <c r="D46" s="77" t="s">
        <v>381</v>
      </c>
      <c r="E46" s="29" t="s">
        <v>54</v>
      </c>
      <c r="F46" s="29">
        <v>2018</v>
      </c>
      <c r="G46" s="29">
        <v>290</v>
      </c>
      <c r="H46" s="33"/>
      <c r="I46" s="33">
        <v>46321</v>
      </c>
      <c r="J46" s="20"/>
      <c r="K46" s="20"/>
      <c r="L46" s="22" t="s">
        <v>40</v>
      </c>
      <c r="M46" s="20"/>
      <c r="N46" s="20"/>
      <c r="O46" s="20"/>
      <c r="P46" s="20"/>
      <c r="Q46" s="24"/>
      <c r="R46" s="20"/>
    </row>
    <row r="47" spans="1:18" ht="126">
      <c r="A47" s="15">
        <v>48</v>
      </c>
      <c r="B47" s="15" t="s">
        <v>384</v>
      </c>
      <c r="C47" s="15" t="s">
        <v>46</v>
      </c>
      <c r="D47" s="16" t="s">
        <v>386</v>
      </c>
      <c r="E47" s="15" t="s">
        <v>48</v>
      </c>
      <c r="F47" s="15">
        <v>2016</v>
      </c>
      <c r="G47" s="15">
        <v>159</v>
      </c>
      <c r="H47" s="18"/>
      <c r="I47" s="18">
        <v>46200</v>
      </c>
      <c r="J47" s="20"/>
      <c r="K47" s="20" t="s">
        <v>388</v>
      </c>
      <c r="L47" s="22" t="s">
        <v>45</v>
      </c>
      <c r="M47" s="20">
        <v>1724.2</v>
      </c>
      <c r="N47" s="20">
        <v>3029.04</v>
      </c>
      <c r="O47" s="20">
        <f t="shared" ref="O47:O49" si="3">N47-M47</f>
        <v>1304.8399999999999</v>
      </c>
      <c r="P47" s="20" t="s">
        <v>390</v>
      </c>
      <c r="Q47" s="24" t="s">
        <v>143</v>
      </c>
      <c r="R47" s="20"/>
    </row>
    <row r="48" spans="1:18" ht="224">
      <c r="A48" s="29">
        <v>49</v>
      </c>
      <c r="B48" s="29" t="s">
        <v>384</v>
      </c>
      <c r="C48" s="29" t="s">
        <v>46</v>
      </c>
      <c r="D48" s="30" t="s">
        <v>392</v>
      </c>
      <c r="E48" s="29" t="s">
        <v>54</v>
      </c>
      <c r="F48" s="29">
        <v>2022</v>
      </c>
      <c r="G48" s="29">
        <v>132</v>
      </c>
      <c r="H48" s="80">
        <v>46225</v>
      </c>
      <c r="I48" s="33">
        <v>46352</v>
      </c>
      <c r="J48" s="20" t="s">
        <v>394</v>
      </c>
      <c r="K48" s="20" t="s">
        <v>396</v>
      </c>
      <c r="L48" s="22" t="s">
        <v>24</v>
      </c>
      <c r="M48" s="20">
        <v>1312.44</v>
      </c>
      <c r="N48" s="20">
        <v>3509.82</v>
      </c>
      <c r="O48" s="20">
        <f t="shared" si="3"/>
        <v>2197.38</v>
      </c>
      <c r="P48" s="20" t="s">
        <v>400</v>
      </c>
      <c r="Q48" s="24" t="s">
        <v>257</v>
      </c>
      <c r="R48" s="20"/>
    </row>
    <row r="49" spans="1:18" ht="84">
      <c r="A49" s="29">
        <v>50</v>
      </c>
      <c r="B49" s="29" t="s">
        <v>384</v>
      </c>
      <c r="C49" s="29" t="s">
        <v>46</v>
      </c>
      <c r="D49" s="30" t="s">
        <v>403</v>
      </c>
      <c r="E49" s="29" t="s">
        <v>37</v>
      </c>
      <c r="F49" s="29">
        <v>2019</v>
      </c>
      <c r="G49" s="29">
        <v>153</v>
      </c>
      <c r="H49" s="33"/>
      <c r="I49" s="33">
        <v>46080</v>
      </c>
      <c r="J49" s="20"/>
      <c r="K49" s="20" t="s">
        <v>404</v>
      </c>
      <c r="L49" s="22" t="s">
        <v>27</v>
      </c>
      <c r="M49" s="20">
        <v>1866.31</v>
      </c>
      <c r="N49" s="20">
        <v>3425.32</v>
      </c>
      <c r="O49" s="20">
        <f t="shared" si="3"/>
        <v>1559.0100000000002</v>
      </c>
      <c r="P49" s="20" t="s">
        <v>406</v>
      </c>
      <c r="Q49" s="24" t="s">
        <v>91</v>
      </c>
      <c r="R49" s="20"/>
    </row>
    <row r="50" spans="1:18" ht="14">
      <c r="A50" s="15">
        <v>10</v>
      </c>
      <c r="B50" s="15" t="s">
        <v>407</v>
      </c>
      <c r="C50" s="15" t="s">
        <v>35</v>
      </c>
      <c r="D50" s="16" t="s">
        <v>408</v>
      </c>
      <c r="E50" s="15" t="s">
        <v>37</v>
      </c>
      <c r="F50" s="15">
        <v>2019</v>
      </c>
      <c r="G50" s="15">
        <v>36</v>
      </c>
      <c r="H50" s="15"/>
      <c r="I50" s="15" t="s">
        <v>410</v>
      </c>
      <c r="J50" s="20"/>
      <c r="K50" s="20"/>
      <c r="L50" s="22" t="s">
        <v>24</v>
      </c>
      <c r="M50" s="20"/>
      <c r="N50" s="20"/>
      <c r="O50" s="20"/>
      <c r="P50" s="20"/>
      <c r="Q50" s="24"/>
      <c r="R50" s="20"/>
    </row>
    <row r="51" spans="1:18" ht="14">
      <c r="A51" s="15">
        <v>51</v>
      </c>
      <c r="B51" s="15" t="s">
        <v>407</v>
      </c>
      <c r="C51" s="15" t="s">
        <v>46</v>
      </c>
      <c r="D51" s="16" t="s">
        <v>414</v>
      </c>
      <c r="E51" s="15" t="s">
        <v>59</v>
      </c>
      <c r="F51" s="15">
        <v>2017</v>
      </c>
      <c r="G51" s="15">
        <v>87</v>
      </c>
      <c r="H51" s="18"/>
      <c r="I51" s="18">
        <v>46110</v>
      </c>
      <c r="J51" s="20"/>
      <c r="K51" s="20"/>
      <c r="L51" s="22" t="s">
        <v>27</v>
      </c>
      <c r="M51" s="20"/>
      <c r="N51" s="20"/>
      <c r="O51" s="20"/>
      <c r="P51" s="20"/>
      <c r="Q51" s="24"/>
      <c r="R51" s="20"/>
    </row>
    <row r="52" spans="1:18" ht="409.6">
      <c r="A52" s="15">
        <v>52</v>
      </c>
      <c r="B52" s="15" t="s">
        <v>416</v>
      </c>
      <c r="C52" s="15" t="s">
        <v>46</v>
      </c>
      <c r="D52" s="16" t="s">
        <v>417</v>
      </c>
      <c r="E52" s="15" t="s">
        <v>59</v>
      </c>
      <c r="F52" s="15">
        <v>2018</v>
      </c>
      <c r="G52" s="15">
        <v>38</v>
      </c>
      <c r="H52" s="18">
        <v>46380</v>
      </c>
      <c r="I52" s="18">
        <v>46230</v>
      </c>
      <c r="J52" s="47" t="s">
        <v>418</v>
      </c>
      <c r="K52" s="20" t="s">
        <v>420</v>
      </c>
      <c r="L52" s="22" t="s">
        <v>27</v>
      </c>
      <c r="M52" s="47">
        <v>492.87</v>
      </c>
      <c r="N52" s="47">
        <v>664.54</v>
      </c>
      <c r="O52" s="47">
        <f>N52-M52</f>
        <v>171.66999999999996</v>
      </c>
      <c r="P52" s="69" t="s">
        <v>423</v>
      </c>
      <c r="Q52" s="24" t="s">
        <v>91</v>
      </c>
      <c r="R52" s="20"/>
    </row>
    <row r="53" spans="1:18" ht="16">
      <c r="A53" s="15">
        <v>11</v>
      </c>
      <c r="B53" s="15" t="s">
        <v>424</v>
      </c>
      <c r="C53" s="15" t="s">
        <v>35</v>
      </c>
      <c r="D53" s="16" t="s">
        <v>425</v>
      </c>
      <c r="E53" s="15" t="s">
        <v>37</v>
      </c>
      <c r="F53" s="15" t="s">
        <v>107</v>
      </c>
      <c r="G53" s="15">
        <v>198</v>
      </c>
      <c r="H53" s="15" t="s">
        <v>426</v>
      </c>
      <c r="I53" s="18">
        <v>46111</v>
      </c>
      <c r="J53" s="20" t="s">
        <v>72</v>
      </c>
      <c r="K53" s="20" t="s">
        <v>72</v>
      </c>
      <c r="L53" s="22" t="s">
        <v>45</v>
      </c>
      <c r="M53" s="82" t="s">
        <v>429</v>
      </c>
      <c r="N53" s="82" t="s">
        <v>432</v>
      </c>
      <c r="O53" s="20" t="s">
        <v>72</v>
      </c>
      <c r="P53" s="20" t="s">
        <v>72</v>
      </c>
      <c r="Q53" s="24" t="s">
        <v>265</v>
      </c>
      <c r="R53" s="20" t="s">
        <v>107</v>
      </c>
    </row>
    <row r="54" spans="1:18" ht="14">
      <c r="A54" s="29">
        <v>53</v>
      </c>
      <c r="B54" s="29" t="s">
        <v>424</v>
      </c>
      <c r="C54" s="29" t="s">
        <v>46</v>
      </c>
      <c r="D54" s="30" t="s">
        <v>433</v>
      </c>
      <c r="E54" s="29" t="s">
        <v>54</v>
      </c>
      <c r="F54" s="29" t="s">
        <v>107</v>
      </c>
      <c r="G54" s="29">
        <v>35</v>
      </c>
      <c r="H54" s="33"/>
      <c r="I54" s="33">
        <v>46108</v>
      </c>
      <c r="J54" s="20"/>
      <c r="K54" s="20"/>
      <c r="L54" s="22" t="s">
        <v>436</v>
      </c>
      <c r="M54" s="20"/>
      <c r="N54" s="20"/>
      <c r="O54" s="20"/>
      <c r="P54" s="20" t="s">
        <v>437</v>
      </c>
      <c r="Q54" s="24"/>
      <c r="R54" s="20"/>
    </row>
    <row r="55" spans="1:18" ht="14">
      <c r="A55" s="15">
        <v>54</v>
      </c>
      <c r="B55" s="15" t="s">
        <v>424</v>
      </c>
      <c r="C55" s="15" t="s">
        <v>46</v>
      </c>
      <c r="D55" s="16" t="s">
        <v>438</v>
      </c>
      <c r="E55" s="15" t="s">
        <v>48</v>
      </c>
      <c r="F55" s="15">
        <v>2021</v>
      </c>
      <c r="G55" s="15">
        <v>257</v>
      </c>
      <c r="H55" s="15"/>
      <c r="I55" s="15" t="s">
        <v>410</v>
      </c>
      <c r="J55" s="20"/>
      <c r="K55" s="20"/>
      <c r="L55" s="22" t="s">
        <v>40</v>
      </c>
      <c r="M55" s="20"/>
      <c r="N55" s="20"/>
      <c r="O55" s="20"/>
      <c r="P55" s="20"/>
      <c r="Q55" s="24"/>
      <c r="R55" s="20"/>
    </row>
    <row r="56" spans="1:18" ht="14">
      <c r="A56" s="29">
        <v>55</v>
      </c>
      <c r="B56" s="29" t="s">
        <v>424</v>
      </c>
      <c r="C56" s="29" t="s">
        <v>46</v>
      </c>
      <c r="D56" s="30" t="s">
        <v>441</v>
      </c>
      <c r="E56" s="29" t="s">
        <v>48</v>
      </c>
      <c r="F56" s="29">
        <v>2016</v>
      </c>
      <c r="G56" s="29">
        <v>50</v>
      </c>
      <c r="H56" s="33"/>
      <c r="I56" s="33">
        <v>46108</v>
      </c>
      <c r="J56" s="20"/>
      <c r="K56" s="20"/>
      <c r="L56" s="22" t="s">
        <v>24</v>
      </c>
      <c r="M56" s="20"/>
      <c r="N56" s="20"/>
      <c r="O56" s="20"/>
      <c r="P56" s="20"/>
      <c r="Q56" s="24"/>
      <c r="R56" s="20"/>
    </row>
    <row r="57" spans="1:18" ht="210">
      <c r="A57" s="15">
        <v>56</v>
      </c>
      <c r="B57" s="15" t="s">
        <v>442</v>
      </c>
      <c r="C57" s="15" t="s">
        <v>46</v>
      </c>
      <c r="D57" s="16" t="s">
        <v>443</v>
      </c>
      <c r="E57" s="15" t="s">
        <v>54</v>
      </c>
      <c r="F57" s="15">
        <v>2016</v>
      </c>
      <c r="G57" s="15">
        <v>15</v>
      </c>
      <c r="H57" s="18">
        <v>46189</v>
      </c>
      <c r="I57" s="18">
        <v>46383</v>
      </c>
      <c r="J57" s="20" t="s">
        <v>445</v>
      </c>
      <c r="K57" s="20" t="s">
        <v>447</v>
      </c>
      <c r="L57" s="22" t="s">
        <v>27</v>
      </c>
      <c r="M57" s="47">
        <v>241.43</v>
      </c>
      <c r="N57" s="47">
        <v>241.43</v>
      </c>
      <c r="O57" s="47">
        <f>N57-M57</f>
        <v>0</v>
      </c>
      <c r="P57" s="20" t="s">
        <v>86</v>
      </c>
      <c r="Q57" s="24"/>
      <c r="R57" s="20"/>
    </row>
    <row r="58" spans="1:18" ht="13">
      <c r="L58" s="87"/>
    </row>
    <row r="59" spans="1:18" ht="13">
      <c r="L59" s="87"/>
    </row>
    <row r="60" spans="1:18" ht="13">
      <c r="L60" s="87"/>
    </row>
    <row r="61" spans="1:18" ht="13">
      <c r="L61" s="87"/>
    </row>
    <row r="62" spans="1:18" ht="13">
      <c r="L62" s="87"/>
    </row>
    <row r="63" spans="1:18" ht="13">
      <c r="L63" s="87"/>
    </row>
    <row r="64" spans="1:18" ht="13">
      <c r="L64" s="87"/>
    </row>
    <row r="65" spans="6:12" ht="13">
      <c r="L65" s="87"/>
    </row>
    <row r="66" spans="6:12" ht="13">
      <c r="L66" s="87"/>
    </row>
    <row r="67" spans="6:12" ht="13">
      <c r="L67" s="87"/>
    </row>
    <row r="68" spans="6:12" ht="13">
      <c r="L68" s="87"/>
    </row>
    <row r="69" spans="6:12" ht="13">
      <c r="L69" s="87"/>
    </row>
    <row r="70" spans="6:12" ht="13">
      <c r="F70" s="32" t="s">
        <v>464</v>
      </c>
      <c r="G70" s="32">
        <v>39</v>
      </c>
      <c r="L70" s="87"/>
    </row>
    <row r="71" spans="6:12" ht="13">
      <c r="L71" s="87"/>
    </row>
    <row r="72" spans="6:12" ht="13">
      <c r="L72" s="87"/>
    </row>
    <row r="73" spans="6:12" ht="13">
      <c r="L73" s="87"/>
    </row>
    <row r="74" spans="6:12" ht="13">
      <c r="L74" s="87"/>
    </row>
    <row r="75" spans="6:12" ht="13">
      <c r="L75" s="87"/>
    </row>
    <row r="76" spans="6:12" ht="13">
      <c r="L76" s="87"/>
    </row>
    <row r="77" spans="6:12" ht="13">
      <c r="L77" s="87"/>
    </row>
    <row r="78" spans="6:12" ht="13">
      <c r="L78" s="87"/>
    </row>
    <row r="79" spans="6:12" ht="13">
      <c r="L79" s="87"/>
    </row>
    <row r="80" spans="6:12" ht="13">
      <c r="L80" s="87"/>
    </row>
    <row r="81" spans="12:12" ht="13">
      <c r="L81" s="87"/>
    </row>
    <row r="82" spans="12:12" ht="13">
      <c r="L82" s="87"/>
    </row>
    <row r="83" spans="12:12" ht="13">
      <c r="L83" s="87"/>
    </row>
    <row r="84" spans="12:12" ht="13">
      <c r="L84" s="87"/>
    </row>
    <row r="85" spans="12:12" ht="13">
      <c r="L85" s="87"/>
    </row>
    <row r="86" spans="12:12" ht="13">
      <c r="L86" s="87"/>
    </row>
    <row r="87" spans="12:12" ht="13">
      <c r="L87" s="87"/>
    </row>
    <row r="88" spans="12:12" ht="13">
      <c r="L88" s="87"/>
    </row>
    <row r="89" spans="12:12" ht="13">
      <c r="L89" s="87"/>
    </row>
    <row r="90" spans="12:12" ht="13">
      <c r="L90" s="87"/>
    </row>
    <row r="91" spans="12:12" ht="13">
      <c r="L91" s="87"/>
    </row>
    <row r="92" spans="12:12" ht="13">
      <c r="L92" s="87"/>
    </row>
    <row r="93" spans="12:12" ht="13">
      <c r="L93" s="87"/>
    </row>
    <row r="94" spans="12:12" ht="13">
      <c r="L94" s="87"/>
    </row>
    <row r="95" spans="12:12" ht="13">
      <c r="L95" s="87"/>
    </row>
    <row r="96" spans="12:12" ht="13">
      <c r="L96" s="87"/>
    </row>
    <row r="97" spans="12:12" ht="13">
      <c r="L97" s="87"/>
    </row>
    <row r="98" spans="12:12" ht="13">
      <c r="L98" s="87"/>
    </row>
    <row r="99" spans="12:12" ht="13">
      <c r="L99" s="87"/>
    </row>
    <row r="100" spans="12:12" ht="13">
      <c r="L100" s="87"/>
    </row>
    <row r="101" spans="12:12" ht="13">
      <c r="L101" s="87"/>
    </row>
    <row r="102" spans="12:12" ht="13">
      <c r="L102" s="87"/>
    </row>
    <row r="103" spans="12:12" ht="13">
      <c r="L103" s="87"/>
    </row>
    <row r="104" spans="12:12" ht="13">
      <c r="L104" s="87"/>
    </row>
    <row r="105" spans="12:12" ht="13">
      <c r="L105" s="87"/>
    </row>
    <row r="106" spans="12:12" ht="13">
      <c r="L106" s="87"/>
    </row>
    <row r="107" spans="12:12" ht="13">
      <c r="L107" s="87"/>
    </row>
    <row r="108" spans="12:12" ht="13">
      <c r="L108" s="87"/>
    </row>
    <row r="109" spans="12:12" ht="13">
      <c r="L109" s="87"/>
    </row>
    <row r="110" spans="12:12" ht="13">
      <c r="L110" s="87"/>
    </row>
    <row r="111" spans="12:12" ht="13">
      <c r="L111" s="87"/>
    </row>
    <row r="112" spans="12:12" ht="13">
      <c r="L112" s="87"/>
    </row>
    <row r="113" spans="12:12" ht="13">
      <c r="L113" s="87"/>
    </row>
    <row r="114" spans="12:12" ht="13">
      <c r="L114" s="87"/>
    </row>
    <row r="115" spans="12:12" ht="13">
      <c r="L115" s="87"/>
    </row>
    <row r="116" spans="12:12" ht="13">
      <c r="L116" s="87"/>
    </row>
    <row r="117" spans="12:12" ht="13">
      <c r="L117" s="87"/>
    </row>
    <row r="118" spans="12:12" ht="13">
      <c r="L118" s="87"/>
    </row>
    <row r="119" spans="12:12" ht="13">
      <c r="L119" s="87"/>
    </row>
    <row r="120" spans="12:12" ht="13">
      <c r="L120" s="87"/>
    </row>
    <row r="121" spans="12:12" ht="13">
      <c r="L121" s="87"/>
    </row>
    <row r="122" spans="12:12" ht="13">
      <c r="L122" s="87"/>
    </row>
    <row r="123" spans="12:12" ht="13">
      <c r="L123" s="87"/>
    </row>
    <row r="124" spans="12:12" ht="13">
      <c r="L124" s="87"/>
    </row>
    <row r="125" spans="12:12" ht="13">
      <c r="L125" s="87"/>
    </row>
    <row r="126" spans="12:12" ht="13">
      <c r="L126" s="87"/>
    </row>
    <row r="127" spans="12:12" ht="13">
      <c r="L127" s="87"/>
    </row>
    <row r="128" spans="12:12" ht="13">
      <c r="L128" s="87"/>
    </row>
    <row r="129" spans="12:12" ht="13">
      <c r="L129" s="87"/>
    </row>
    <row r="130" spans="12:12" ht="13">
      <c r="L130" s="87"/>
    </row>
    <row r="131" spans="12:12" ht="13">
      <c r="L131" s="87"/>
    </row>
    <row r="132" spans="12:12" ht="13">
      <c r="L132" s="87"/>
    </row>
    <row r="133" spans="12:12" ht="13">
      <c r="L133" s="87"/>
    </row>
    <row r="134" spans="12:12" ht="13">
      <c r="L134" s="87"/>
    </row>
    <row r="135" spans="12:12" ht="13">
      <c r="L135" s="87"/>
    </row>
    <row r="136" spans="12:12" ht="13">
      <c r="L136" s="87"/>
    </row>
    <row r="137" spans="12:12" ht="13">
      <c r="L137" s="87"/>
    </row>
    <row r="138" spans="12:12" ht="13">
      <c r="L138" s="87"/>
    </row>
    <row r="139" spans="12:12" ht="13">
      <c r="L139" s="87"/>
    </row>
    <row r="140" spans="12:12" ht="13">
      <c r="L140" s="87"/>
    </row>
    <row r="141" spans="12:12" ht="13">
      <c r="L141" s="87"/>
    </row>
    <row r="142" spans="12:12" ht="13">
      <c r="L142" s="87"/>
    </row>
    <row r="143" spans="12:12" ht="13">
      <c r="L143" s="87"/>
    </row>
    <row r="144" spans="12:12" ht="13">
      <c r="L144" s="87"/>
    </row>
    <row r="145" spans="12:12" ht="13">
      <c r="L145" s="87"/>
    </row>
    <row r="146" spans="12:12" ht="13">
      <c r="L146" s="87"/>
    </row>
    <row r="147" spans="12:12" ht="13">
      <c r="L147" s="87"/>
    </row>
    <row r="148" spans="12:12" ht="13">
      <c r="L148" s="87"/>
    </row>
    <row r="149" spans="12:12" ht="13">
      <c r="L149" s="87"/>
    </row>
    <row r="150" spans="12:12" ht="13">
      <c r="L150" s="87"/>
    </row>
    <row r="151" spans="12:12" ht="13">
      <c r="L151" s="87"/>
    </row>
    <row r="152" spans="12:12" ht="13">
      <c r="L152" s="87"/>
    </row>
    <row r="153" spans="12:12" ht="13">
      <c r="L153" s="87"/>
    </row>
    <row r="154" spans="12:12" ht="13">
      <c r="L154" s="87"/>
    </row>
    <row r="155" spans="12:12" ht="13">
      <c r="L155" s="87"/>
    </row>
    <row r="156" spans="12:12" ht="13">
      <c r="L156" s="87"/>
    </row>
    <row r="157" spans="12:12" ht="13">
      <c r="L157" s="87"/>
    </row>
    <row r="158" spans="12:12" ht="13">
      <c r="L158" s="87"/>
    </row>
    <row r="159" spans="12:12" ht="13">
      <c r="L159" s="87"/>
    </row>
    <row r="160" spans="12:12" ht="13">
      <c r="L160" s="87"/>
    </row>
    <row r="161" spans="12:12" ht="13">
      <c r="L161" s="87"/>
    </row>
    <row r="162" spans="12:12" ht="13">
      <c r="L162" s="87"/>
    </row>
    <row r="163" spans="12:12" ht="13">
      <c r="L163" s="87"/>
    </row>
    <row r="164" spans="12:12" ht="13">
      <c r="L164" s="87"/>
    </row>
    <row r="165" spans="12:12" ht="13">
      <c r="L165" s="87"/>
    </row>
    <row r="166" spans="12:12" ht="13">
      <c r="L166" s="87"/>
    </row>
    <row r="167" spans="12:12" ht="13">
      <c r="L167" s="87"/>
    </row>
    <row r="168" spans="12:12" ht="13">
      <c r="L168" s="87"/>
    </row>
    <row r="169" spans="12:12" ht="13">
      <c r="L169" s="87"/>
    </row>
    <row r="170" spans="12:12" ht="13">
      <c r="L170" s="87"/>
    </row>
    <row r="171" spans="12:12" ht="13">
      <c r="L171" s="87"/>
    </row>
    <row r="172" spans="12:12" ht="13">
      <c r="L172" s="87"/>
    </row>
    <row r="173" spans="12:12" ht="13">
      <c r="L173" s="87"/>
    </row>
    <row r="174" spans="12:12" ht="13">
      <c r="L174" s="87"/>
    </row>
    <row r="175" spans="12:12" ht="13">
      <c r="L175" s="87"/>
    </row>
    <row r="176" spans="12:12" ht="13">
      <c r="L176" s="87"/>
    </row>
    <row r="177" spans="12:12" ht="13">
      <c r="L177" s="87"/>
    </row>
    <row r="178" spans="12:12" ht="13">
      <c r="L178" s="87"/>
    </row>
    <row r="179" spans="12:12" ht="13">
      <c r="L179" s="87"/>
    </row>
    <row r="180" spans="12:12" ht="13">
      <c r="L180" s="87"/>
    </row>
    <row r="181" spans="12:12" ht="13">
      <c r="L181" s="87"/>
    </row>
    <row r="182" spans="12:12" ht="13">
      <c r="L182" s="87"/>
    </row>
    <row r="183" spans="12:12" ht="13">
      <c r="L183" s="87"/>
    </row>
    <row r="184" spans="12:12" ht="13">
      <c r="L184" s="87"/>
    </row>
    <row r="185" spans="12:12" ht="13">
      <c r="L185" s="87"/>
    </row>
    <row r="186" spans="12:12" ht="13">
      <c r="L186" s="87"/>
    </row>
    <row r="187" spans="12:12" ht="13">
      <c r="L187" s="87"/>
    </row>
    <row r="188" spans="12:12" ht="13">
      <c r="L188" s="87"/>
    </row>
    <row r="189" spans="12:12" ht="13">
      <c r="L189" s="87"/>
    </row>
    <row r="190" spans="12:12" ht="13">
      <c r="L190" s="87"/>
    </row>
    <row r="191" spans="12:12" ht="13">
      <c r="L191" s="87"/>
    </row>
    <row r="192" spans="12:12" ht="13">
      <c r="L192" s="87"/>
    </row>
    <row r="193" spans="12:12" ht="13">
      <c r="L193" s="87"/>
    </row>
    <row r="194" spans="12:12" ht="13">
      <c r="L194" s="87"/>
    </row>
    <row r="195" spans="12:12" ht="13">
      <c r="L195" s="87"/>
    </row>
    <row r="196" spans="12:12" ht="13">
      <c r="L196" s="87"/>
    </row>
    <row r="197" spans="12:12" ht="13">
      <c r="L197" s="87"/>
    </row>
    <row r="198" spans="12:12" ht="13">
      <c r="L198" s="87"/>
    </row>
    <row r="199" spans="12:12" ht="13">
      <c r="L199" s="87"/>
    </row>
    <row r="200" spans="12:12" ht="13">
      <c r="L200" s="87"/>
    </row>
    <row r="201" spans="12:12" ht="13">
      <c r="L201" s="87"/>
    </row>
    <row r="202" spans="12:12" ht="13">
      <c r="L202" s="87"/>
    </row>
    <row r="203" spans="12:12" ht="13">
      <c r="L203" s="87"/>
    </row>
    <row r="204" spans="12:12" ht="13">
      <c r="L204" s="87"/>
    </row>
    <row r="205" spans="12:12" ht="13">
      <c r="L205" s="87"/>
    </row>
    <row r="206" spans="12:12" ht="13">
      <c r="L206" s="87"/>
    </row>
    <row r="207" spans="12:12" ht="13">
      <c r="L207" s="87"/>
    </row>
    <row r="208" spans="12:12" ht="13">
      <c r="L208" s="87"/>
    </row>
    <row r="209" spans="12:12" ht="13">
      <c r="L209" s="87"/>
    </row>
    <row r="210" spans="12:12" ht="13">
      <c r="L210" s="87"/>
    </row>
    <row r="211" spans="12:12" ht="13">
      <c r="L211" s="87"/>
    </row>
    <row r="212" spans="12:12" ht="13">
      <c r="L212" s="87"/>
    </row>
    <row r="213" spans="12:12" ht="13">
      <c r="L213" s="87"/>
    </row>
    <row r="214" spans="12:12" ht="13">
      <c r="L214" s="87"/>
    </row>
    <row r="215" spans="12:12" ht="13">
      <c r="L215" s="87"/>
    </row>
    <row r="216" spans="12:12" ht="13">
      <c r="L216" s="87"/>
    </row>
    <row r="217" spans="12:12" ht="13">
      <c r="L217" s="87"/>
    </row>
    <row r="218" spans="12:12" ht="13">
      <c r="L218" s="87"/>
    </row>
    <row r="219" spans="12:12" ht="13">
      <c r="L219" s="87"/>
    </row>
    <row r="220" spans="12:12" ht="13">
      <c r="L220" s="87"/>
    </row>
    <row r="221" spans="12:12" ht="13">
      <c r="L221" s="87"/>
    </row>
    <row r="222" spans="12:12" ht="13">
      <c r="L222" s="87"/>
    </row>
    <row r="223" spans="12:12" ht="13">
      <c r="L223" s="87"/>
    </row>
    <row r="224" spans="12:12" ht="13">
      <c r="L224" s="87"/>
    </row>
    <row r="225" spans="12:12" ht="13">
      <c r="L225" s="87"/>
    </row>
    <row r="226" spans="12:12" ht="13">
      <c r="L226" s="87"/>
    </row>
    <row r="227" spans="12:12" ht="13">
      <c r="L227" s="87"/>
    </row>
    <row r="228" spans="12:12" ht="13">
      <c r="L228" s="87"/>
    </row>
    <row r="229" spans="12:12" ht="13">
      <c r="L229" s="87"/>
    </row>
    <row r="230" spans="12:12" ht="13">
      <c r="L230" s="87"/>
    </row>
    <row r="231" spans="12:12" ht="13">
      <c r="L231" s="87"/>
    </row>
    <row r="232" spans="12:12" ht="13">
      <c r="L232" s="87"/>
    </row>
    <row r="233" spans="12:12" ht="13">
      <c r="L233" s="87"/>
    </row>
    <row r="234" spans="12:12" ht="13">
      <c r="L234" s="87"/>
    </row>
    <row r="235" spans="12:12" ht="13">
      <c r="L235" s="87"/>
    </row>
    <row r="236" spans="12:12" ht="13">
      <c r="L236" s="87"/>
    </row>
    <row r="237" spans="12:12" ht="13">
      <c r="L237" s="87"/>
    </row>
    <row r="238" spans="12:12" ht="13">
      <c r="L238" s="87"/>
    </row>
    <row r="239" spans="12:12" ht="13">
      <c r="L239" s="87"/>
    </row>
    <row r="240" spans="12:12" ht="13">
      <c r="L240" s="87"/>
    </row>
    <row r="241" spans="12:12" ht="13">
      <c r="L241" s="87"/>
    </row>
    <row r="242" spans="12:12" ht="13">
      <c r="L242" s="87"/>
    </row>
    <row r="243" spans="12:12" ht="13">
      <c r="L243" s="87"/>
    </row>
    <row r="244" spans="12:12" ht="13">
      <c r="L244" s="87"/>
    </row>
    <row r="245" spans="12:12" ht="13">
      <c r="L245" s="87"/>
    </row>
    <row r="246" spans="12:12" ht="13">
      <c r="L246" s="87"/>
    </row>
    <row r="247" spans="12:12" ht="13">
      <c r="L247" s="87"/>
    </row>
    <row r="248" spans="12:12" ht="13">
      <c r="L248" s="87"/>
    </row>
    <row r="249" spans="12:12" ht="13">
      <c r="L249" s="87"/>
    </row>
    <row r="250" spans="12:12" ht="13">
      <c r="L250" s="87"/>
    </row>
    <row r="251" spans="12:12" ht="13">
      <c r="L251" s="87"/>
    </row>
    <row r="252" spans="12:12" ht="13">
      <c r="L252" s="87"/>
    </row>
    <row r="253" spans="12:12" ht="13">
      <c r="L253" s="87"/>
    </row>
    <row r="254" spans="12:12" ht="13">
      <c r="L254" s="87"/>
    </row>
    <row r="255" spans="12:12" ht="13">
      <c r="L255" s="87"/>
    </row>
    <row r="256" spans="12:12" ht="13">
      <c r="L256" s="87"/>
    </row>
    <row r="257" spans="12:12" ht="13">
      <c r="L257" s="87"/>
    </row>
    <row r="258" spans="12:12" ht="13">
      <c r="L258" s="87"/>
    </row>
    <row r="259" spans="12:12" ht="13">
      <c r="L259" s="87"/>
    </row>
    <row r="260" spans="12:12" ht="13">
      <c r="L260" s="87"/>
    </row>
    <row r="261" spans="12:12" ht="13">
      <c r="L261" s="87"/>
    </row>
    <row r="262" spans="12:12" ht="13">
      <c r="L262" s="87"/>
    </row>
    <row r="263" spans="12:12" ht="13">
      <c r="L263" s="87"/>
    </row>
    <row r="264" spans="12:12" ht="13">
      <c r="L264" s="87"/>
    </row>
    <row r="265" spans="12:12" ht="13">
      <c r="L265" s="87"/>
    </row>
    <row r="266" spans="12:12" ht="13">
      <c r="L266" s="87"/>
    </row>
    <row r="267" spans="12:12" ht="13">
      <c r="L267" s="87"/>
    </row>
    <row r="268" spans="12:12" ht="13">
      <c r="L268" s="87"/>
    </row>
    <row r="269" spans="12:12" ht="13">
      <c r="L269" s="87"/>
    </row>
    <row r="270" spans="12:12" ht="13">
      <c r="L270" s="87"/>
    </row>
    <row r="271" spans="12:12" ht="13">
      <c r="L271" s="87"/>
    </row>
    <row r="272" spans="12:12" ht="13">
      <c r="L272" s="87"/>
    </row>
    <row r="273" spans="12:12" ht="13">
      <c r="L273" s="87"/>
    </row>
    <row r="274" spans="12:12" ht="13">
      <c r="L274" s="87"/>
    </row>
    <row r="275" spans="12:12" ht="13">
      <c r="L275" s="87"/>
    </row>
    <row r="276" spans="12:12" ht="13">
      <c r="L276" s="87"/>
    </row>
    <row r="277" spans="12:12" ht="13">
      <c r="L277" s="87"/>
    </row>
    <row r="278" spans="12:12" ht="13">
      <c r="L278" s="87"/>
    </row>
    <row r="279" spans="12:12" ht="13">
      <c r="L279" s="87"/>
    </row>
    <row r="280" spans="12:12" ht="13">
      <c r="L280" s="87"/>
    </row>
    <row r="281" spans="12:12" ht="13">
      <c r="L281" s="87"/>
    </row>
    <row r="282" spans="12:12" ht="13">
      <c r="L282" s="87"/>
    </row>
    <row r="283" spans="12:12" ht="13">
      <c r="L283" s="87"/>
    </row>
    <row r="284" spans="12:12" ht="13">
      <c r="L284" s="87"/>
    </row>
    <row r="285" spans="12:12" ht="13">
      <c r="L285" s="87"/>
    </row>
    <row r="286" spans="12:12" ht="13">
      <c r="L286" s="87"/>
    </row>
    <row r="287" spans="12:12" ht="13">
      <c r="L287" s="87"/>
    </row>
    <row r="288" spans="12:12" ht="13">
      <c r="L288" s="87"/>
    </row>
    <row r="289" spans="12:12" ht="13">
      <c r="L289" s="87"/>
    </row>
    <row r="290" spans="12:12" ht="13">
      <c r="L290" s="87"/>
    </row>
    <row r="291" spans="12:12" ht="13">
      <c r="L291" s="87"/>
    </row>
    <row r="292" spans="12:12" ht="13">
      <c r="L292" s="87"/>
    </row>
    <row r="293" spans="12:12" ht="13">
      <c r="L293" s="87"/>
    </row>
    <row r="294" spans="12:12" ht="13">
      <c r="L294" s="87"/>
    </row>
    <row r="295" spans="12:12" ht="13">
      <c r="L295" s="87"/>
    </row>
    <row r="296" spans="12:12" ht="13">
      <c r="L296" s="87"/>
    </row>
    <row r="297" spans="12:12" ht="13">
      <c r="L297" s="87"/>
    </row>
    <row r="298" spans="12:12" ht="13">
      <c r="L298" s="87"/>
    </row>
    <row r="299" spans="12:12" ht="13">
      <c r="L299" s="87"/>
    </row>
    <row r="300" spans="12:12" ht="13">
      <c r="L300" s="87"/>
    </row>
    <row r="301" spans="12:12" ht="13">
      <c r="L301" s="87"/>
    </row>
    <row r="302" spans="12:12" ht="13">
      <c r="L302" s="87"/>
    </row>
    <row r="303" spans="12:12" ht="13">
      <c r="L303" s="87"/>
    </row>
    <row r="304" spans="12:12" ht="13">
      <c r="L304" s="87"/>
    </row>
    <row r="305" spans="12:12" ht="13">
      <c r="L305" s="87"/>
    </row>
    <row r="306" spans="12:12" ht="13">
      <c r="L306" s="87"/>
    </row>
    <row r="307" spans="12:12" ht="13">
      <c r="L307" s="87"/>
    </row>
    <row r="308" spans="12:12" ht="13">
      <c r="L308" s="87"/>
    </row>
    <row r="309" spans="12:12" ht="13">
      <c r="L309" s="87"/>
    </row>
    <row r="310" spans="12:12" ht="13">
      <c r="L310" s="87"/>
    </row>
    <row r="311" spans="12:12" ht="13">
      <c r="L311" s="87"/>
    </row>
    <row r="312" spans="12:12" ht="13">
      <c r="L312" s="87"/>
    </row>
    <row r="313" spans="12:12" ht="13">
      <c r="L313" s="87"/>
    </row>
    <row r="314" spans="12:12" ht="13">
      <c r="L314" s="87"/>
    </row>
    <row r="315" spans="12:12" ht="13">
      <c r="L315" s="87"/>
    </row>
    <row r="316" spans="12:12" ht="13">
      <c r="L316" s="87"/>
    </row>
    <row r="317" spans="12:12" ht="13">
      <c r="L317" s="87"/>
    </row>
    <row r="318" spans="12:12" ht="13">
      <c r="L318" s="87"/>
    </row>
    <row r="319" spans="12:12" ht="13">
      <c r="L319" s="87"/>
    </row>
    <row r="320" spans="12:12" ht="13">
      <c r="L320" s="87"/>
    </row>
    <row r="321" spans="12:12" ht="13">
      <c r="L321" s="87"/>
    </row>
    <row r="322" spans="12:12" ht="13">
      <c r="L322" s="87"/>
    </row>
    <row r="323" spans="12:12" ht="13">
      <c r="L323" s="87"/>
    </row>
    <row r="324" spans="12:12" ht="13">
      <c r="L324" s="87"/>
    </row>
    <row r="325" spans="12:12" ht="13">
      <c r="L325" s="87"/>
    </row>
    <row r="326" spans="12:12" ht="13">
      <c r="L326" s="87"/>
    </row>
    <row r="327" spans="12:12" ht="13">
      <c r="L327" s="87"/>
    </row>
    <row r="328" spans="12:12" ht="13">
      <c r="L328" s="87"/>
    </row>
    <row r="329" spans="12:12" ht="13">
      <c r="L329" s="87"/>
    </row>
    <row r="330" spans="12:12" ht="13">
      <c r="L330" s="87"/>
    </row>
    <row r="331" spans="12:12" ht="13">
      <c r="L331" s="87"/>
    </row>
    <row r="332" spans="12:12" ht="13">
      <c r="L332" s="87"/>
    </row>
    <row r="333" spans="12:12" ht="13">
      <c r="L333" s="87"/>
    </row>
    <row r="334" spans="12:12" ht="13">
      <c r="L334" s="87"/>
    </row>
    <row r="335" spans="12:12" ht="13">
      <c r="L335" s="87"/>
    </row>
    <row r="336" spans="12:12" ht="13">
      <c r="L336" s="87"/>
    </row>
    <row r="337" spans="12:12" ht="13">
      <c r="L337" s="87"/>
    </row>
    <row r="338" spans="12:12" ht="13">
      <c r="L338" s="87"/>
    </row>
    <row r="339" spans="12:12" ht="13">
      <c r="L339" s="87"/>
    </row>
    <row r="340" spans="12:12" ht="13">
      <c r="L340" s="87"/>
    </row>
    <row r="341" spans="12:12" ht="13">
      <c r="L341" s="87"/>
    </row>
    <row r="342" spans="12:12" ht="13">
      <c r="L342" s="87"/>
    </row>
    <row r="343" spans="12:12" ht="13">
      <c r="L343" s="87"/>
    </row>
    <row r="344" spans="12:12" ht="13">
      <c r="L344" s="87"/>
    </row>
    <row r="345" spans="12:12" ht="13">
      <c r="L345" s="87"/>
    </row>
    <row r="346" spans="12:12" ht="13">
      <c r="L346" s="87"/>
    </row>
    <row r="347" spans="12:12" ht="13">
      <c r="L347" s="87"/>
    </row>
    <row r="348" spans="12:12" ht="13">
      <c r="L348" s="87"/>
    </row>
    <row r="349" spans="12:12" ht="13">
      <c r="L349" s="87"/>
    </row>
    <row r="350" spans="12:12" ht="13">
      <c r="L350" s="87"/>
    </row>
    <row r="351" spans="12:12" ht="13">
      <c r="L351" s="87"/>
    </row>
    <row r="352" spans="12:12" ht="13">
      <c r="L352" s="87"/>
    </row>
    <row r="353" spans="12:12" ht="13">
      <c r="L353" s="87"/>
    </row>
    <row r="354" spans="12:12" ht="13">
      <c r="L354" s="87"/>
    </row>
    <row r="355" spans="12:12" ht="13">
      <c r="L355" s="87"/>
    </row>
    <row r="356" spans="12:12" ht="13">
      <c r="L356" s="87"/>
    </row>
    <row r="357" spans="12:12" ht="13">
      <c r="L357" s="87"/>
    </row>
    <row r="358" spans="12:12" ht="13">
      <c r="L358" s="87"/>
    </row>
    <row r="359" spans="12:12" ht="13">
      <c r="L359" s="87"/>
    </row>
    <row r="360" spans="12:12" ht="13">
      <c r="L360" s="87"/>
    </row>
    <row r="361" spans="12:12" ht="13">
      <c r="L361" s="87"/>
    </row>
    <row r="362" spans="12:12" ht="13">
      <c r="L362" s="87"/>
    </row>
    <row r="363" spans="12:12" ht="13">
      <c r="L363" s="87"/>
    </row>
    <row r="364" spans="12:12" ht="13">
      <c r="L364" s="87"/>
    </row>
    <row r="365" spans="12:12" ht="13">
      <c r="L365" s="87"/>
    </row>
    <row r="366" spans="12:12" ht="13">
      <c r="L366" s="87"/>
    </row>
    <row r="367" spans="12:12" ht="13">
      <c r="L367" s="87"/>
    </row>
    <row r="368" spans="12:12" ht="13">
      <c r="L368" s="87"/>
    </row>
    <row r="369" spans="12:12" ht="13">
      <c r="L369" s="87"/>
    </row>
    <row r="370" spans="12:12" ht="13">
      <c r="L370" s="87"/>
    </row>
    <row r="371" spans="12:12" ht="13">
      <c r="L371" s="87"/>
    </row>
    <row r="372" spans="12:12" ht="13">
      <c r="L372" s="87"/>
    </row>
    <row r="373" spans="12:12" ht="13">
      <c r="L373" s="87"/>
    </row>
    <row r="374" spans="12:12" ht="13">
      <c r="L374" s="87"/>
    </row>
    <row r="375" spans="12:12" ht="13">
      <c r="L375" s="87"/>
    </row>
    <row r="376" spans="12:12" ht="13">
      <c r="L376" s="87"/>
    </row>
    <row r="377" spans="12:12" ht="13">
      <c r="L377" s="87"/>
    </row>
    <row r="378" spans="12:12" ht="13">
      <c r="L378" s="87"/>
    </row>
    <row r="379" spans="12:12" ht="13">
      <c r="L379" s="87"/>
    </row>
    <row r="380" spans="12:12" ht="13">
      <c r="L380" s="87"/>
    </row>
    <row r="381" spans="12:12" ht="13">
      <c r="L381" s="87"/>
    </row>
    <row r="382" spans="12:12" ht="13">
      <c r="L382" s="87"/>
    </row>
    <row r="383" spans="12:12" ht="13">
      <c r="L383" s="87"/>
    </row>
    <row r="384" spans="12:12" ht="13">
      <c r="L384" s="87"/>
    </row>
    <row r="385" spans="12:12" ht="13">
      <c r="L385" s="87"/>
    </row>
    <row r="386" spans="12:12" ht="13">
      <c r="L386" s="87"/>
    </row>
    <row r="387" spans="12:12" ht="13">
      <c r="L387" s="87"/>
    </row>
    <row r="388" spans="12:12" ht="13">
      <c r="L388" s="87"/>
    </row>
    <row r="389" spans="12:12" ht="13">
      <c r="L389" s="87"/>
    </row>
    <row r="390" spans="12:12" ht="13">
      <c r="L390" s="87"/>
    </row>
    <row r="391" spans="12:12" ht="13">
      <c r="L391" s="87"/>
    </row>
    <row r="392" spans="12:12" ht="13">
      <c r="L392" s="87"/>
    </row>
    <row r="393" spans="12:12" ht="13">
      <c r="L393" s="87"/>
    </row>
    <row r="394" spans="12:12" ht="13">
      <c r="L394" s="87"/>
    </row>
    <row r="395" spans="12:12" ht="13">
      <c r="L395" s="87"/>
    </row>
    <row r="396" spans="12:12" ht="13">
      <c r="L396" s="87"/>
    </row>
    <row r="397" spans="12:12" ht="13">
      <c r="L397" s="87"/>
    </row>
    <row r="398" spans="12:12" ht="13">
      <c r="L398" s="87"/>
    </row>
    <row r="399" spans="12:12" ht="13">
      <c r="L399" s="87"/>
    </row>
    <row r="400" spans="12:12" ht="13">
      <c r="L400" s="87"/>
    </row>
    <row r="401" spans="12:12" ht="13">
      <c r="L401" s="87"/>
    </row>
    <row r="402" spans="12:12" ht="13">
      <c r="L402" s="87"/>
    </row>
    <row r="403" spans="12:12" ht="13">
      <c r="L403" s="87"/>
    </row>
    <row r="404" spans="12:12" ht="13">
      <c r="L404" s="87"/>
    </row>
    <row r="405" spans="12:12" ht="13">
      <c r="L405" s="87"/>
    </row>
    <row r="406" spans="12:12" ht="13">
      <c r="L406" s="87"/>
    </row>
    <row r="407" spans="12:12" ht="13">
      <c r="L407" s="87"/>
    </row>
    <row r="408" spans="12:12" ht="13">
      <c r="L408" s="87"/>
    </row>
    <row r="409" spans="12:12" ht="13">
      <c r="L409" s="87"/>
    </row>
    <row r="410" spans="12:12" ht="13">
      <c r="L410" s="87"/>
    </row>
    <row r="411" spans="12:12" ht="13">
      <c r="L411" s="87"/>
    </row>
    <row r="412" spans="12:12" ht="13">
      <c r="L412" s="87"/>
    </row>
    <row r="413" spans="12:12" ht="13">
      <c r="L413" s="87"/>
    </row>
    <row r="414" spans="12:12" ht="13">
      <c r="L414" s="87"/>
    </row>
    <row r="415" spans="12:12" ht="13">
      <c r="L415" s="87"/>
    </row>
    <row r="416" spans="12:12" ht="13">
      <c r="L416" s="87"/>
    </row>
    <row r="417" spans="12:12" ht="13">
      <c r="L417" s="87"/>
    </row>
    <row r="418" spans="12:12" ht="13">
      <c r="L418" s="87"/>
    </row>
    <row r="419" spans="12:12" ht="13">
      <c r="L419" s="87"/>
    </row>
    <row r="420" spans="12:12" ht="13">
      <c r="L420" s="87"/>
    </row>
    <row r="421" spans="12:12" ht="13">
      <c r="L421" s="87"/>
    </row>
    <row r="422" spans="12:12" ht="13">
      <c r="L422" s="87"/>
    </row>
    <row r="423" spans="12:12" ht="13">
      <c r="L423" s="87"/>
    </row>
    <row r="424" spans="12:12" ht="13">
      <c r="L424" s="87"/>
    </row>
    <row r="425" spans="12:12" ht="13">
      <c r="L425" s="87"/>
    </row>
    <row r="426" spans="12:12" ht="13">
      <c r="L426" s="87"/>
    </row>
    <row r="427" spans="12:12" ht="13">
      <c r="L427" s="87"/>
    </row>
    <row r="428" spans="12:12" ht="13">
      <c r="L428" s="87"/>
    </row>
    <row r="429" spans="12:12" ht="13">
      <c r="L429" s="87"/>
    </row>
    <row r="430" spans="12:12" ht="13">
      <c r="L430" s="87"/>
    </row>
    <row r="431" spans="12:12" ht="13">
      <c r="L431" s="87"/>
    </row>
    <row r="432" spans="12:12" ht="13">
      <c r="L432" s="87"/>
    </row>
    <row r="433" spans="12:12" ht="13">
      <c r="L433" s="87"/>
    </row>
    <row r="434" spans="12:12" ht="13">
      <c r="L434" s="87"/>
    </row>
    <row r="435" spans="12:12" ht="13">
      <c r="L435" s="87"/>
    </row>
    <row r="436" spans="12:12" ht="13">
      <c r="L436" s="87"/>
    </row>
    <row r="437" spans="12:12" ht="13">
      <c r="L437" s="87"/>
    </row>
    <row r="438" spans="12:12" ht="13">
      <c r="L438" s="87"/>
    </row>
    <row r="439" spans="12:12" ht="13">
      <c r="L439" s="87"/>
    </row>
    <row r="440" spans="12:12" ht="13">
      <c r="L440" s="87"/>
    </row>
    <row r="441" spans="12:12" ht="13">
      <c r="L441" s="87"/>
    </row>
    <row r="442" spans="12:12" ht="13">
      <c r="L442" s="87"/>
    </row>
    <row r="443" spans="12:12" ht="13">
      <c r="L443" s="87"/>
    </row>
    <row r="444" spans="12:12" ht="13">
      <c r="L444" s="87"/>
    </row>
    <row r="445" spans="12:12" ht="13">
      <c r="L445" s="87"/>
    </row>
    <row r="446" spans="12:12" ht="13">
      <c r="L446" s="87"/>
    </row>
    <row r="447" spans="12:12" ht="13">
      <c r="L447" s="87"/>
    </row>
    <row r="448" spans="12:12" ht="13">
      <c r="L448" s="87"/>
    </row>
    <row r="449" spans="12:12" ht="13">
      <c r="L449" s="87"/>
    </row>
    <row r="450" spans="12:12" ht="13">
      <c r="L450" s="87"/>
    </row>
    <row r="451" spans="12:12" ht="13">
      <c r="L451" s="87"/>
    </row>
    <row r="452" spans="12:12" ht="13">
      <c r="L452" s="87"/>
    </row>
    <row r="453" spans="12:12" ht="13">
      <c r="L453" s="87"/>
    </row>
    <row r="454" spans="12:12" ht="13">
      <c r="L454" s="87"/>
    </row>
    <row r="455" spans="12:12" ht="13">
      <c r="L455" s="87"/>
    </row>
    <row r="456" spans="12:12" ht="13">
      <c r="L456" s="87"/>
    </row>
    <row r="457" spans="12:12" ht="13">
      <c r="L457" s="87"/>
    </row>
    <row r="458" spans="12:12" ht="13">
      <c r="L458" s="87"/>
    </row>
    <row r="459" spans="12:12" ht="13">
      <c r="L459" s="87"/>
    </row>
    <row r="460" spans="12:12" ht="13">
      <c r="L460" s="87"/>
    </row>
    <row r="461" spans="12:12" ht="13">
      <c r="L461" s="87"/>
    </row>
    <row r="462" spans="12:12" ht="13">
      <c r="L462" s="87"/>
    </row>
    <row r="463" spans="12:12" ht="13">
      <c r="L463" s="87"/>
    </row>
    <row r="464" spans="12:12" ht="13">
      <c r="L464" s="87"/>
    </row>
    <row r="465" spans="12:12" ht="13">
      <c r="L465" s="87"/>
    </row>
    <row r="466" spans="12:12" ht="13">
      <c r="L466" s="87"/>
    </row>
    <row r="467" spans="12:12" ht="13">
      <c r="L467" s="87"/>
    </row>
    <row r="468" spans="12:12" ht="13">
      <c r="L468" s="87"/>
    </row>
    <row r="469" spans="12:12" ht="13">
      <c r="L469" s="87"/>
    </row>
    <row r="470" spans="12:12" ht="13">
      <c r="L470" s="87"/>
    </row>
    <row r="471" spans="12:12" ht="13">
      <c r="L471" s="87"/>
    </row>
    <row r="472" spans="12:12" ht="13">
      <c r="L472" s="87"/>
    </row>
    <row r="473" spans="12:12" ht="13">
      <c r="L473" s="87"/>
    </row>
    <row r="474" spans="12:12" ht="13">
      <c r="L474" s="87"/>
    </row>
    <row r="475" spans="12:12" ht="13">
      <c r="L475" s="87"/>
    </row>
    <row r="476" spans="12:12" ht="13">
      <c r="L476" s="87"/>
    </row>
    <row r="477" spans="12:12" ht="13">
      <c r="L477" s="87"/>
    </row>
    <row r="478" spans="12:12" ht="13">
      <c r="L478" s="87"/>
    </row>
    <row r="479" spans="12:12" ht="13">
      <c r="L479" s="87"/>
    </row>
    <row r="480" spans="12:12" ht="13">
      <c r="L480" s="87"/>
    </row>
    <row r="481" spans="12:12" ht="13">
      <c r="L481" s="87"/>
    </row>
    <row r="482" spans="12:12" ht="13">
      <c r="L482" s="87"/>
    </row>
    <row r="483" spans="12:12" ht="13">
      <c r="L483" s="87"/>
    </row>
    <row r="484" spans="12:12" ht="13">
      <c r="L484" s="87"/>
    </row>
    <row r="485" spans="12:12" ht="13">
      <c r="L485" s="87"/>
    </row>
    <row r="486" spans="12:12" ht="13">
      <c r="L486" s="87"/>
    </row>
    <row r="487" spans="12:12" ht="13">
      <c r="L487" s="87"/>
    </row>
    <row r="488" spans="12:12" ht="13">
      <c r="L488" s="87"/>
    </row>
    <row r="489" spans="12:12" ht="13">
      <c r="L489" s="87"/>
    </row>
    <row r="490" spans="12:12" ht="13">
      <c r="L490" s="87"/>
    </row>
    <row r="491" spans="12:12" ht="13">
      <c r="L491" s="87"/>
    </row>
    <row r="492" spans="12:12" ht="13">
      <c r="L492" s="87"/>
    </row>
    <row r="493" spans="12:12" ht="13">
      <c r="L493" s="87"/>
    </row>
    <row r="494" spans="12:12" ht="13">
      <c r="L494" s="87"/>
    </row>
    <row r="495" spans="12:12" ht="13">
      <c r="L495" s="87"/>
    </row>
    <row r="496" spans="12:12" ht="13">
      <c r="L496" s="87"/>
    </row>
    <row r="497" spans="12:12" ht="13">
      <c r="L497" s="87"/>
    </row>
    <row r="498" spans="12:12" ht="13">
      <c r="L498" s="87"/>
    </row>
    <row r="499" spans="12:12" ht="13">
      <c r="L499" s="87"/>
    </row>
    <row r="500" spans="12:12" ht="13">
      <c r="L500" s="87"/>
    </row>
    <row r="501" spans="12:12" ht="13">
      <c r="L501" s="87"/>
    </row>
    <row r="502" spans="12:12" ht="13">
      <c r="L502" s="87"/>
    </row>
    <row r="503" spans="12:12" ht="13">
      <c r="L503" s="87"/>
    </row>
    <row r="504" spans="12:12" ht="13">
      <c r="L504" s="87"/>
    </row>
    <row r="505" spans="12:12" ht="13">
      <c r="L505" s="87"/>
    </row>
    <row r="506" spans="12:12" ht="13">
      <c r="L506" s="87"/>
    </row>
    <row r="507" spans="12:12" ht="13">
      <c r="L507" s="87"/>
    </row>
    <row r="508" spans="12:12" ht="13">
      <c r="L508" s="87"/>
    </row>
    <row r="509" spans="12:12" ht="13">
      <c r="L509" s="87"/>
    </row>
    <row r="510" spans="12:12" ht="13">
      <c r="L510" s="87"/>
    </row>
    <row r="511" spans="12:12" ht="13">
      <c r="L511" s="87"/>
    </row>
    <row r="512" spans="12:12" ht="13">
      <c r="L512" s="87"/>
    </row>
    <row r="513" spans="12:12" ht="13">
      <c r="L513" s="87"/>
    </row>
    <row r="514" spans="12:12" ht="13">
      <c r="L514" s="87"/>
    </row>
    <row r="515" spans="12:12" ht="13">
      <c r="L515" s="87"/>
    </row>
    <row r="516" spans="12:12" ht="13">
      <c r="L516" s="87"/>
    </row>
    <row r="517" spans="12:12" ht="13">
      <c r="L517" s="87"/>
    </row>
    <row r="518" spans="12:12" ht="13">
      <c r="L518" s="87"/>
    </row>
    <row r="519" spans="12:12" ht="13">
      <c r="L519" s="87"/>
    </row>
    <row r="520" spans="12:12" ht="13">
      <c r="L520" s="87"/>
    </row>
    <row r="521" spans="12:12" ht="13">
      <c r="L521" s="87"/>
    </row>
    <row r="522" spans="12:12" ht="13">
      <c r="L522" s="87"/>
    </row>
    <row r="523" spans="12:12" ht="13">
      <c r="L523" s="87"/>
    </row>
    <row r="524" spans="12:12" ht="13">
      <c r="L524" s="87"/>
    </row>
    <row r="525" spans="12:12" ht="13">
      <c r="L525" s="87"/>
    </row>
    <row r="526" spans="12:12" ht="13">
      <c r="L526" s="87"/>
    </row>
    <row r="527" spans="12:12" ht="13">
      <c r="L527" s="87"/>
    </row>
    <row r="528" spans="12:12" ht="13">
      <c r="L528" s="87"/>
    </row>
    <row r="529" spans="12:12" ht="13">
      <c r="L529" s="87"/>
    </row>
    <row r="530" spans="12:12" ht="13">
      <c r="L530" s="87"/>
    </row>
    <row r="531" spans="12:12" ht="13">
      <c r="L531" s="87"/>
    </row>
    <row r="532" spans="12:12" ht="13">
      <c r="L532" s="87"/>
    </row>
    <row r="533" spans="12:12" ht="13">
      <c r="L533" s="87"/>
    </row>
    <row r="534" spans="12:12" ht="13">
      <c r="L534" s="87"/>
    </row>
    <row r="535" spans="12:12" ht="13">
      <c r="L535" s="87"/>
    </row>
    <row r="536" spans="12:12" ht="13">
      <c r="L536" s="87"/>
    </row>
    <row r="537" spans="12:12" ht="13">
      <c r="L537" s="87"/>
    </row>
    <row r="538" spans="12:12" ht="13">
      <c r="L538" s="87"/>
    </row>
    <row r="539" spans="12:12" ht="13">
      <c r="L539" s="87"/>
    </row>
    <row r="540" spans="12:12" ht="13">
      <c r="L540" s="87"/>
    </row>
    <row r="541" spans="12:12" ht="13">
      <c r="L541" s="87"/>
    </row>
    <row r="542" spans="12:12" ht="13">
      <c r="L542" s="87"/>
    </row>
    <row r="543" spans="12:12" ht="13">
      <c r="L543" s="87"/>
    </row>
    <row r="544" spans="12:12" ht="13">
      <c r="L544" s="87"/>
    </row>
    <row r="545" spans="12:12" ht="13">
      <c r="L545" s="87"/>
    </row>
    <row r="546" spans="12:12" ht="13">
      <c r="L546" s="87"/>
    </row>
    <row r="547" spans="12:12" ht="13">
      <c r="L547" s="87"/>
    </row>
    <row r="548" spans="12:12" ht="13">
      <c r="L548" s="87"/>
    </row>
    <row r="549" spans="12:12" ht="13">
      <c r="L549" s="87"/>
    </row>
    <row r="550" spans="12:12" ht="13">
      <c r="L550" s="87"/>
    </row>
    <row r="551" spans="12:12" ht="13">
      <c r="L551" s="87"/>
    </row>
    <row r="552" spans="12:12" ht="13">
      <c r="L552" s="87"/>
    </row>
    <row r="553" spans="12:12" ht="13">
      <c r="L553" s="87"/>
    </row>
    <row r="554" spans="12:12" ht="13">
      <c r="L554" s="87"/>
    </row>
    <row r="555" spans="12:12" ht="13">
      <c r="L555" s="87"/>
    </row>
    <row r="556" spans="12:12" ht="13">
      <c r="L556" s="87"/>
    </row>
    <row r="557" spans="12:12" ht="13">
      <c r="L557" s="87"/>
    </row>
    <row r="558" spans="12:12" ht="13">
      <c r="L558" s="87"/>
    </row>
    <row r="559" spans="12:12" ht="13">
      <c r="L559" s="87"/>
    </row>
    <row r="560" spans="12:12" ht="13">
      <c r="L560" s="87"/>
    </row>
    <row r="561" spans="12:12" ht="13">
      <c r="L561" s="87"/>
    </row>
    <row r="562" spans="12:12" ht="13">
      <c r="L562" s="87"/>
    </row>
    <row r="563" spans="12:12" ht="13">
      <c r="L563" s="87"/>
    </row>
    <row r="564" spans="12:12" ht="13">
      <c r="L564" s="87"/>
    </row>
    <row r="565" spans="12:12" ht="13">
      <c r="L565" s="87"/>
    </row>
    <row r="566" spans="12:12" ht="13">
      <c r="L566" s="87"/>
    </row>
    <row r="567" spans="12:12" ht="13">
      <c r="L567" s="87"/>
    </row>
    <row r="568" spans="12:12" ht="13">
      <c r="L568" s="87"/>
    </row>
    <row r="569" spans="12:12" ht="13">
      <c r="L569" s="87"/>
    </row>
    <row r="570" spans="12:12" ht="13">
      <c r="L570" s="87"/>
    </row>
    <row r="571" spans="12:12" ht="13">
      <c r="L571" s="87"/>
    </row>
    <row r="572" spans="12:12" ht="13">
      <c r="L572" s="87"/>
    </row>
    <row r="573" spans="12:12" ht="13">
      <c r="L573" s="87"/>
    </row>
    <row r="574" spans="12:12" ht="13">
      <c r="L574" s="87"/>
    </row>
    <row r="575" spans="12:12" ht="13">
      <c r="L575" s="87"/>
    </row>
    <row r="576" spans="12:12" ht="13">
      <c r="L576" s="87"/>
    </row>
    <row r="577" spans="12:12" ht="13">
      <c r="L577" s="87"/>
    </row>
    <row r="578" spans="12:12" ht="13">
      <c r="L578" s="87"/>
    </row>
    <row r="579" spans="12:12" ht="13">
      <c r="L579" s="87"/>
    </row>
    <row r="580" spans="12:12" ht="13">
      <c r="L580" s="87"/>
    </row>
    <row r="581" spans="12:12" ht="13">
      <c r="L581" s="87"/>
    </row>
    <row r="582" spans="12:12" ht="13">
      <c r="L582" s="87"/>
    </row>
    <row r="583" spans="12:12" ht="13">
      <c r="L583" s="87"/>
    </row>
    <row r="584" spans="12:12" ht="13">
      <c r="L584" s="87"/>
    </row>
    <row r="585" spans="12:12" ht="13">
      <c r="L585" s="87"/>
    </row>
    <row r="586" spans="12:12" ht="13">
      <c r="L586" s="87"/>
    </row>
    <row r="587" spans="12:12" ht="13">
      <c r="L587" s="87"/>
    </row>
    <row r="588" spans="12:12" ht="13">
      <c r="L588" s="87"/>
    </row>
    <row r="589" spans="12:12" ht="13">
      <c r="L589" s="87"/>
    </row>
    <row r="590" spans="12:12" ht="13">
      <c r="L590" s="87"/>
    </row>
    <row r="591" spans="12:12" ht="13">
      <c r="L591" s="87"/>
    </row>
    <row r="592" spans="12:12" ht="13">
      <c r="L592" s="87"/>
    </row>
    <row r="593" spans="12:12" ht="13">
      <c r="L593" s="87"/>
    </row>
    <row r="594" spans="12:12" ht="13">
      <c r="L594" s="87"/>
    </row>
    <row r="595" spans="12:12" ht="13">
      <c r="L595" s="87"/>
    </row>
    <row r="596" spans="12:12" ht="13">
      <c r="L596" s="87"/>
    </row>
    <row r="597" spans="12:12" ht="13">
      <c r="L597" s="87"/>
    </row>
    <row r="598" spans="12:12" ht="13">
      <c r="L598" s="87"/>
    </row>
    <row r="599" spans="12:12" ht="13">
      <c r="L599" s="87"/>
    </row>
    <row r="600" spans="12:12" ht="13">
      <c r="L600" s="87"/>
    </row>
    <row r="601" spans="12:12" ht="13">
      <c r="L601" s="87"/>
    </row>
    <row r="602" spans="12:12" ht="13">
      <c r="L602" s="87"/>
    </row>
    <row r="603" spans="12:12" ht="13">
      <c r="L603" s="87"/>
    </row>
    <row r="604" spans="12:12" ht="13">
      <c r="L604" s="87"/>
    </row>
    <row r="605" spans="12:12" ht="13">
      <c r="L605" s="87"/>
    </row>
    <row r="606" spans="12:12" ht="13">
      <c r="L606" s="87"/>
    </row>
    <row r="607" spans="12:12" ht="13">
      <c r="L607" s="87"/>
    </row>
    <row r="608" spans="12:12" ht="13">
      <c r="L608" s="87"/>
    </row>
    <row r="609" spans="12:12" ht="13">
      <c r="L609" s="87"/>
    </row>
    <row r="610" spans="12:12" ht="13">
      <c r="L610" s="87"/>
    </row>
    <row r="611" spans="12:12" ht="13">
      <c r="L611" s="87"/>
    </row>
    <row r="612" spans="12:12" ht="13">
      <c r="L612" s="87"/>
    </row>
    <row r="613" spans="12:12" ht="13">
      <c r="L613" s="87"/>
    </row>
    <row r="614" spans="12:12" ht="13">
      <c r="L614" s="87"/>
    </row>
    <row r="615" spans="12:12" ht="13">
      <c r="L615" s="87"/>
    </row>
    <row r="616" spans="12:12" ht="13">
      <c r="L616" s="87"/>
    </row>
    <row r="617" spans="12:12" ht="13">
      <c r="L617" s="87"/>
    </row>
    <row r="618" spans="12:12" ht="13">
      <c r="L618" s="87"/>
    </row>
    <row r="619" spans="12:12" ht="13">
      <c r="L619" s="87"/>
    </row>
    <row r="620" spans="12:12" ht="13">
      <c r="L620" s="87"/>
    </row>
    <row r="621" spans="12:12" ht="13">
      <c r="L621" s="87"/>
    </row>
    <row r="622" spans="12:12" ht="13">
      <c r="L622" s="87"/>
    </row>
    <row r="623" spans="12:12" ht="13">
      <c r="L623" s="87"/>
    </row>
    <row r="624" spans="12:12" ht="13">
      <c r="L624" s="87"/>
    </row>
    <row r="625" spans="12:12" ht="13">
      <c r="L625" s="87"/>
    </row>
    <row r="626" spans="12:12" ht="13">
      <c r="L626" s="87"/>
    </row>
    <row r="627" spans="12:12" ht="13">
      <c r="L627" s="87"/>
    </row>
    <row r="628" spans="12:12" ht="13">
      <c r="L628" s="87"/>
    </row>
    <row r="629" spans="12:12" ht="13">
      <c r="L629" s="87"/>
    </row>
    <row r="630" spans="12:12" ht="13">
      <c r="L630" s="87"/>
    </row>
    <row r="631" spans="12:12" ht="13">
      <c r="L631" s="87"/>
    </row>
    <row r="632" spans="12:12" ht="13">
      <c r="L632" s="87"/>
    </row>
    <row r="633" spans="12:12" ht="13">
      <c r="L633" s="87"/>
    </row>
    <row r="634" spans="12:12" ht="13">
      <c r="L634" s="87"/>
    </row>
    <row r="635" spans="12:12" ht="13">
      <c r="L635" s="87"/>
    </row>
    <row r="636" spans="12:12" ht="13">
      <c r="L636" s="87"/>
    </row>
    <row r="637" spans="12:12" ht="13">
      <c r="L637" s="87"/>
    </row>
    <row r="638" spans="12:12" ht="13">
      <c r="L638" s="87"/>
    </row>
    <row r="639" spans="12:12" ht="13">
      <c r="L639" s="87"/>
    </row>
    <row r="640" spans="12:12" ht="13">
      <c r="L640" s="87"/>
    </row>
    <row r="641" spans="12:12" ht="13">
      <c r="L641" s="87"/>
    </row>
    <row r="642" spans="12:12" ht="13">
      <c r="L642" s="87"/>
    </row>
    <row r="643" spans="12:12" ht="13">
      <c r="L643" s="87"/>
    </row>
    <row r="644" spans="12:12" ht="13">
      <c r="L644" s="87"/>
    </row>
    <row r="645" spans="12:12" ht="13">
      <c r="L645" s="87"/>
    </row>
    <row r="646" spans="12:12" ht="13">
      <c r="L646" s="87"/>
    </row>
    <row r="647" spans="12:12" ht="13">
      <c r="L647" s="87"/>
    </row>
    <row r="648" spans="12:12" ht="13">
      <c r="L648" s="87"/>
    </row>
    <row r="649" spans="12:12" ht="13">
      <c r="L649" s="87"/>
    </row>
    <row r="650" spans="12:12" ht="13">
      <c r="L650" s="87"/>
    </row>
    <row r="651" spans="12:12" ht="13">
      <c r="L651" s="87"/>
    </row>
    <row r="652" spans="12:12" ht="13">
      <c r="L652" s="87"/>
    </row>
    <row r="653" spans="12:12" ht="13">
      <c r="L653" s="87"/>
    </row>
    <row r="654" spans="12:12" ht="13">
      <c r="L654" s="87"/>
    </row>
    <row r="655" spans="12:12" ht="13">
      <c r="L655" s="87"/>
    </row>
    <row r="656" spans="12:12" ht="13">
      <c r="L656" s="87"/>
    </row>
    <row r="657" spans="12:12" ht="13">
      <c r="L657" s="87"/>
    </row>
    <row r="658" spans="12:12" ht="13">
      <c r="L658" s="87"/>
    </row>
    <row r="659" spans="12:12" ht="13">
      <c r="L659" s="87"/>
    </row>
    <row r="660" spans="12:12" ht="13">
      <c r="L660" s="87"/>
    </row>
    <row r="661" spans="12:12" ht="13">
      <c r="L661" s="87"/>
    </row>
    <row r="662" spans="12:12" ht="13">
      <c r="L662" s="87"/>
    </row>
    <row r="663" spans="12:12" ht="13">
      <c r="L663" s="87"/>
    </row>
    <row r="664" spans="12:12" ht="13">
      <c r="L664" s="87"/>
    </row>
    <row r="665" spans="12:12" ht="13">
      <c r="L665" s="87"/>
    </row>
    <row r="666" spans="12:12" ht="13">
      <c r="L666" s="87"/>
    </row>
    <row r="667" spans="12:12" ht="13">
      <c r="L667" s="87"/>
    </row>
    <row r="668" spans="12:12" ht="13">
      <c r="L668" s="87"/>
    </row>
    <row r="669" spans="12:12" ht="13">
      <c r="L669" s="87"/>
    </row>
    <row r="670" spans="12:12" ht="13">
      <c r="L670" s="87"/>
    </row>
    <row r="671" spans="12:12" ht="13">
      <c r="L671" s="87"/>
    </row>
    <row r="672" spans="12:12" ht="13">
      <c r="L672" s="87"/>
    </row>
    <row r="673" spans="12:12" ht="13">
      <c r="L673" s="87"/>
    </row>
    <row r="674" spans="12:12" ht="13">
      <c r="L674" s="87"/>
    </row>
    <row r="675" spans="12:12" ht="13">
      <c r="L675" s="87"/>
    </row>
    <row r="676" spans="12:12" ht="13">
      <c r="L676" s="87"/>
    </row>
    <row r="677" spans="12:12" ht="13">
      <c r="L677" s="87"/>
    </row>
    <row r="678" spans="12:12" ht="13">
      <c r="L678" s="87"/>
    </row>
    <row r="679" spans="12:12" ht="13">
      <c r="L679" s="87"/>
    </row>
    <row r="680" spans="12:12" ht="13">
      <c r="L680" s="87"/>
    </row>
    <row r="681" spans="12:12" ht="13">
      <c r="L681" s="87"/>
    </row>
    <row r="682" spans="12:12" ht="13">
      <c r="L682" s="87"/>
    </row>
    <row r="683" spans="12:12" ht="13">
      <c r="L683" s="87"/>
    </row>
    <row r="684" spans="12:12" ht="13">
      <c r="L684" s="87"/>
    </row>
    <row r="685" spans="12:12" ht="13">
      <c r="L685" s="87"/>
    </row>
    <row r="686" spans="12:12" ht="13">
      <c r="L686" s="87"/>
    </row>
    <row r="687" spans="12:12" ht="13">
      <c r="L687" s="87"/>
    </row>
    <row r="688" spans="12:12" ht="13">
      <c r="L688" s="87"/>
    </row>
    <row r="689" spans="12:12" ht="13">
      <c r="L689" s="87"/>
    </row>
    <row r="690" spans="12:12" ht="13">
      <c r="L690" s="87"/>
    </row>
    <row r="691" spans="12:12" ht="13">
      <c r="L691" s="87"/>
    </row>
    <row r="692" spans="12:12" ht="13">
      <c r="L692" s="87"/>
    </row>
    <row r="693" spans="12:12" ht="13">
      <c r="L693" s="87"/>
    </row>
    <row r="694" spans="12:12" ht="13">
      <c r="L694" s="87"/>
    </row>
    <row r="695" spans="12:12" ht="13">
      <c r="L695" s="87"/>
    </row>
    <row r="696" spans="12:12" ht="13">
      <c r="L696" s="87"/>
    </row>
    <row r="697" spans="12:12" ht="13">
      <c r="L697" s="87"/>
    </row>
    <row r="698" spans="12:12" ht="13">
      <c r="L698" s="87"/>
    </row>
    <row r="699" spans="12:12" ht="13">
      <c r="L699" s="87"/>
    </row>
    <row r="700" spans="12:12" ht="13">
      <c r="L700" s="87"/>
    </row>
    <row r="701" spans="12:12" ht="13">
      <c r="L701" s="87"/>
    </row>
    <row r="702" spans="12:12" ht="13">
      <c r="L702" s="87"/>
    </row>
    <row r="703" spans="12:12" ht="13">
      <c r="L703" s="87"/>
    </row>
    <row r="704" spans="12:12" ht="13">
      <c r="L704" s="87"/>
    </row>
    <row r="705" spans="12:12" ht="13">
      <c r="L705" s="87"/>
    </row>
    <row r="706" spans="12:12" ht="13">
      <c r="L706" s="87"/>
    </row>
    <row r="707" spans="12:12" ht="13">
      <c r="L707" s="87"/>
    </row>
    <row r="708" spans="12:12" ht="13">
      <c r="L708" s="87"/>
    </row>
    <row r="709" spans="12:12" ht="13">
      <c r="L709" s="87"/>
    </row>
    <row r="710" spans="12:12" ht="13">
      <c r="L710" s="87"/>
    </row>
    <row r="711" spans="12:12" ht="13">
      <c r="L711" s="87"/>
    </row>
    <row r="712" spans="12:12" ht="13">
      <c r="L712" s="87"/>
    </row>
    <row r="713" spans="12:12" ht="13">
      <c r="L713" s="87"/>
    </row>
    <row r="714" spans="12:12" ht="13">
      <c r="L714" s="87"/>
    </row>
    <row r="715" spans="12:12" ht="13">
      <c r="L715" s="87"/>
    </row>
    <row r="716" spans="12:12" ht="13">
      <c r="L716" s="87"/>
    </row>
    <row r="717" spans="12:12" ht="13">
      <c r="L717" s="87"/>
    </row>
    <row r="718" spans="12:12" ht="13">
      <c r="L718" s="87"/>
    </row>
    <row r="719" spans="12:12" ht="13">
      <c r="L719" s="87"/>
    </row>
    <row r="720" spans="12:12" ht="13">
      <c r="L720" s="87"/>
    </row>
    <row r="721" spans="12:12" ht="13">
      <c r="L721" s="87"/>
    </row>
    <row r="722" spans="12:12" ht="13">
      <c r="L722" s="87"/>
    </row>
    <row r="723" spans="12:12" ht="13">
      <c r="L723" s="87"/>
    </row>
    <row r="724" spans="12:12" ht="13">
      <c r="L724" s="87"/>
    </row>
    <row r="725" spans="12:12" ht="13">
      <c r="L725" s="87"/>
    </row>
    <row r="726" spans="12:12" ht="13">
      <c r="L726" s="87"/>
    </row>
    <row r="727" spans="12:12" ht="13">
      <c r="L727" s="87"/>
    </row>
    <row r="728" spans="12:12" ht="13">
      <c r="L728" s="87"/>
    </row>
    <row r="729" spans="12:12" ht="13">
      <c r="L729" s="87"/>
    </row>
    <row r="730" spans="12:12" ht="13">
      <c r="L730" s="87"/>
    </row>
    <row r="731" spans="12:12" ht="13">
      <c r="L731" s="87"/>
    </row>
    <row r="732" spans="12:12" ht="13">
      <c r="L732" s="87"/>
    </row>
    <row r="733" spans="12:12" ht="13">
      <c r="L733" s="87"/>
    </row>
    <row r="734" spans="12:12" ht="13">
      <c r="L734" s="87"/>
    </row>
    <row r="735" spans="12:12" ht="13">
      <c r="L735" s="87"/>
    </row>
    <row r="736" spans="12:12" ht="13">
      <c r="L736" s="87"/>
    </row>
    <row r="737" spans="12:12" ht="13">
      <c r="L737" s="87"/>
    </row>
    <row r="738" spans="12:12" ht="13">
      <c r="L738" s="87"/>
    </row>
    <row r="739" spans="12:12" ht="13">
      <c r="L739" s="87"/>
    </row>
    <row r="740" spans="12:12" ht="13">
      <c r="L740" s="87"/>
    </row>
    <row r="741" spans="12:12" ht="13">
      <c r="L741" s="87"/>
    </row>
    <row r="742" spans="12:12" ht="13">
      <c r="L742" s="87"/>
    </row>
    <row r="743" spans="12:12" ht="13">
      <c r="L743" s="87"/>
    </row>
    <row r="744" spans="12:12" ht="13">
      <c r="L744" s="87"/>
    </row>
    <row r="745" spans="12:12" ht="13">
      <c r="L745" s="87"/>
    </row>
    <row r="746" spans="12:12" ht="13">
      <c r="L746" s="87"/>
    </row>
    <row r="747" spans="12:12" ht="13">
      <c r="L747" s="87"/>
    </row>
    <row r="748" spans="12:12" ht="13">
      <c r="L748" s="87"/>
    </row>
    <row r="749" spans="12:12" ht="13">
      <c r="L749" s="87"/>
    </row>
    <row r="750" spans="12:12" ht="13">
      <c r="L750" s="87"/>
    </row>
    <row r="751" spans="12:12" ht="13">
      <c r="L751" s="87"/>
    </row>
    <row r="752" spans="12:12" ht="13">
      <c r="L752" s="87"/>
    </row>
    <row r="753" spans="12:12" ht="13">
      <c r="L753" s="87"/>
    </row>
    <row r="754" spans="12:12" ht="13">
      <c r="L754" s="87"/>
    </row>
    <row r="755" spans="12:12" ht="13">
      <c r="L755" s="87"/>
    </row>
    <row r="756" spans="12:12" ht="13">
      <c r="L756" s="87"/>
    </row>
    <row r="757" spans="12:12" ht="13">
      <c r="L757" s="87"/>
    </row>
    <row r="758" spans="12:12" ht="13">
      <c r="L758" s="87"/>
    </row>
    <row r="759" spans="12:12" ht="13">
      <c r="L759" s="87"/>
    </row>
    <row r="760" spans="12:12" ht="13">
      <c r="L760" s="87"/>
    </row>
    <row r="761" spans="12:12" ht="13">
      <c r="L761" s="87"/>
    </row>
    <row r="762" spans="12:12" ht="13">
      <c r="L762" s="87"/>
    </row>
    <row r="763" spans="12:12" ht="13">
      <c r="L763" s="87"/>
    </row>
    <row r="764" spans="12:12" ht="13">
      <c r="L764" s="87"/>
    </row>
    <row r="765" spans="12:12" ht="13">
      <c r="L765" s="87"/>
    </row>
    <row r="766" spans="12:12" ht="13">
      <c r="L766" s="87"/>
    </row>
    <row r="767" spans="12:12" ht="13">
      <c r="L767" s="87"/>
    </row>
    <row r="768" spans="12:12" ht="13">
      <c r="L768" s="87"/>
    </row>
    <row r="769" spans="12:12" ht="13">
      <c r="L769" s="87"/>
    </row>
    <row r="770" spans="12:12" ht="13">
      <c r="L770" s="87"/>
    </row>
    <row r="771" spans="12:12" ht="13">
      <c r="L771" s="87"/>
    </row>
    <row r="772" spans="12:12" ht="13">
      <c r="L772" s="87"/>
    </row>
    <row r="773" spans="12:12" ht="13">
      <c r="L773" s="87"/>
    </row>
    <row r="774" spans="12:12" ht="13">
      <c r="L774" s="87"/>
    </row>
    <row r="775" spans="12:12" ht="13">
      <c r="L775" s="87"/>
    </row>
    <row r="776" spans="12:12" ht="13">
      <c r="L776" s="87"/>
    </row>
    <row r="777" spans="12:12" ht="13">
      <c r="L777" s="87"/>
    </row>
    <row r="778" spans="12:12" ht="13">
      <c r="L778" s="87"/>
    </row>
    <row r="779" spans="12:12" ht="13">
      <c r="L779" s="87"/>
    </row>
    <row r="780" spans="12:12" ht="13">
      <c r="L780" s="87"/>
    </row>
    <row r="781" spans="12:12" ht="13">
      <c r="L781" s="87"/>
    </row>
    <row r="782" spans="12:12" ht="13">
      <c r="L782" s="87"/>
    </row>
    <row r="783" spans="12:12" ht="13">
      <c r="L783" s="87"/>
    </row>
    <row r="784" spans="12:12" ht="13">
      <c r="L784" s="87"/>
    </row>
    <row r="785" spans="12:12" ht="13">
      <c r="L785" s="87"/>
    </row>
    <row r="786" spans="12:12" ht="13">
      <c r="L786" s="87"/>
    </row>
    <row r="787" spans="12:12" ht="13">
      <c r="L787" s="87"/>
    </row>
    <row r="788" spans="12:12" ht="13">
      <c r="L788" s="87"/>
    </row>
    <row r="789" spans="12:12" ht="13">
      <c r="L789" s="87"/>
    </row>
    <row r="790" spans="12:12" ht="13">
      <c r="L790" s="87"/>
    </row>
    <row r="791" spans="12:12" ht="13">
      <c r="L791" s="87"/>
    </row>
    <row r="792" spans="12:12" ht="13">
      <c r="L792" s="87"/>
    </row>
    <row r="793" spans="12:12" ht="13">
      <c r="L793" s="87"/>
    </row>
    <row r="794" spans="12:12" ht="13">
      <c r="L794" s="87"/>
    </row>
    <row r="795" spans="12:12" ht="13">
      <c r="L795" s="87"/>
    </row>
    <row r="796" spans="12:12" ht="13">
      <c r="L796" s="87"/>
    </row>
    <row r="797" spans="12:12" ht="13">
      <c r="L797" s="87"/>
    </row>
    <row r="798" spans="12:12" ht="13">
      <c r="L798" s="87"/>
    </row>
    <row r="799" spans="12:12" ht="13">
      <c r="L799" s="87"/>
    </row>
    <row r="800" spans="12:12" ht="13">
      <c r="L800" s="87"/>
    </row>
    <row r="801" spans="12:12" ht="13">
      <c r="L801" s="87"/>
    </row>
    <row r="802" spans="12:12" ht="13">
      <c r="L802" s="87"/>
    </row>
    <row r="803" spans="12:12" ht="13">
      <c r="L803" s="87"/>
    </row>
    <row r="804" spans="12:12" ht="13">
      <c r="L804" s="87"/>
    </row>
    <row r="805" spans="12:12" ht="13">
      <c r="L805" s="87"/>
    </row>
    <row r="806" spans="12:12" ht="13">
      <c r="L806" s="87"/>
    </row>
    <row r="807" spans="12:12" ht="13">
      <c r="L807" s="87"/>
    </row>
    <row r="808" spans="12:12" ht="13">
      <c r="L808" s="87"/>
    </row>
    <row r="809" spans="12:12" ht="13">
      <c r="L809" s="87"/>
    </row>
    <row r="810" spans="12:12" ht="13">
      <c r="L810" s="87"/>
    </row>
    <row r="811" spans="12:12" ht="13">
      <c r="L811" s="87"/>
    </row>
    <row r="812" spans="12:12" ht="13">
      <c r="L812" s="87"/>
    </row>
    <row r="813" spans="12:12" ht="13">
      <c r="L813" s="87"/>
    </row>
    <row r="814" spans="12:12" ht="13">
      <c r="L814" s="87"/>
    </row>
    <row r="815" spans="12:12" ht="13">
      <c r="L815" s="87"/>
    </row>
    <row r="816" spans="12:12" ht="13">
      <c r="L816" s="87"/>
    </row>
    <row r="817" spans="12:12" ht="13">
      <c r="L817" s="87"/>
    </row>
    <row r="818" spans="12:12" ht="13">
      <c r="L818" s="87"/>
    </row>
    <row r="819" spans="12:12" ht="13">
      <c r="L819" s="87"/>
    </row>
    <row r="820" spans="12:12" ht="13">
      <c r="L820" s="87"/>
    </row>
    <row r="821" spans="12:12" ht="13">
      <c r="L821" s="87"/>
    </row>
    <row r="822" spans="12:12" ht="13">
      <c r="L822" s="87"/>
    </row>
    <row r="823" spans="12:12" ht="13">
      <c r="L823" s="87"/>
    </row>
    <row r="824" spans="12:12" ht="13">
      <c r="L824" s="87"/>
    </row>
    <row r="825" spans="12:12" ht="13">
      <c r="L825" s="87"/>
    </row>
    <row r="826" spans="12:12" ht="13">
      <c r="L826" s="87"/>
    </row>
    <row r="827" spans="12:12" ht="13">
      <c r="L827" s="87"/>
    </row>
    <row r="828" spans="12:12" ht="13">
      <c r="L828" s="87"/>
    </row>
    <row r="829" spans="12:12" ht="13">
      <c r="L829" s="87"/>
    </row>
    <row r="830" spans="12:12" ht="13">
      <c r="L830" s="87"/>
    </row>
    <row r="831" spans="12:12" ht="13">
      <c r="L831" s="87"/>
    </row>
    <row r="832" spans="12:12" ht="13">
      <c r="L832" s="87"/>
    </row>
    <row r="833" spans="12:12" ht="13">
      <c r="L833" s="87"/>
    </row>
    <row r="834" spans="12:12" ht="13">
      <c r="L834" s="87"/>
    </row>
    <row r="835" spans="12:12" ht="13">
      <c r="L835" s="87"/>
    </row>
    <row r="836" spans="12:12" ht="13">
      <c r="L836" s="87"/>
    </row>
    <row r="837" spans="12:12" ht="13">
      <c r="L837" s="87"/>
    </row>
    <row r="838" spans="12:12" ht="13">
      <c r="L838" s="87"/>
    </row>
    <row r="839" spans="12:12" ht="13">
      <c r="L839" s="87"/>
    </row>
    <row r="840" spans="12:12" ht="13">
      <c r="L840" s="87"/>
    </row>
    <row r="841" spans="12:12" ht="13">
      <c r="L841" s="87"/>
    </row>
    <row r="842" spans="12:12" ht="13">
      <c r="L842" s="87"/>
    </row>
    <row r="843" spans="12:12" ht="13">
      <c r="L843" s="87"/>
    </row>
    <row r="844" spans="12:12" ht="13">
      <c r="L844" s="87"/>
    </row>
    <row r="845" spans="12:12" ht="13">
      <c r="L845" s="87"/>
    </row>
    <row r="846" spans="12:12" ht="13">
      <c r="L846" s="87"/>
    </row>
    <row r="847" spans="12:12" ht="13">
      <c r="L847" s="87"/>
    </row>
    <row r="848" spans="12:12" ht="13">
      <c r="L848" s="87"/>
    </row>
    <row r="849" spans="12:12" ht="13">
      <c r="L849" s="87"/>
    </row>
    <row r="850" spans="12:12" ht="13">
      <c r="L850" s="87"/>
    </row>
    <row r="851" spans="12:12" ht="13">
      <c r="L851" s="87"/>
    </row>
    <row r="852" spans="12:12" ht="13">
      <c r="L852" s="87"/>
    </row>
    <row r="853" spans="12:12" ht="13">
      <c r="L853" s="87"/>
    </row>
    <row r="854" spans="12:12" ht="13">
      <c r="L854" s="87"/>
    </row>
    <row r="855" spans="12:12" ht="13">
      <c r="L855" s="87"/>
    </row>
    <row r="856" spans="12:12" ht="13">
      <c r="L856" s="87"/>
    </row>
    <row r="857" spans="12:12" ht="13">
      <c r="L857" s="87"/>
    </row>
    <row r="858" spans="12:12" ht="13">
      <c r="L858" s="87"/>
    </row>
    <row r="859" spans="12:12" ht="13">
      <c r="L859" s="87"/>
    </row>
    <row r="860" spans="12:12" ht="13">
      <c r="L860" s="87"/>
    </row>
    <row r="861" spans="12:12" ht="13">
      <c r="L861" s="87"/>
    </row>
    <row r="862" spans="12:12" ht="13">
      <c r="L862" s="87"/>
    </row>
    <row r="863" spans="12:12" ht="13">
      <c r="L863" s="87"/>
    </row>
    <row r="864" spans="12:12" ht="13">
      <c r="L864" s="87"/>
    </row>
    <row r="865" spans="12:12" ht="13">
      <c r="L865" s="87"/>
    </row>
    <row r="866" spans="12:12" ht="13">
      <c r="L866" s="87"/>
    </row>
    <row r="867" spans="12:12" ht="13">
      <c r="L867" s="87"/>
    </row>
    <row r="868" spans="12:12" ht="13">
      <c r="L868" s="87"/>
    </row>
    <row r="869" spans="12:12" ht="13">
      <c r="L869" s="87"/>
    </row>
    <row r="870" spans="12:12" ht="13">
      <c r="L870" s="87"/>
    </row>
    <row r="871" spans="12:12" ht="13">
      <c r="L871" s="87"/>
    </row>
    <row r="872" spans="12:12" ht="13">
      <c r="L872" s="87"/>
    </row>
    <row r="873" spans="12:12" ht="13">
      <c r="L873" s="87"/>
    </row>
    <row r="874" spans="12:12" ht="13">
      <c r="L874" s="87"/>
    </row>
    <row r="875" spans="12:12" ht="13">
      <c r="L875" s="87"/>
    </row>
    <row r="876" spans="12:12" ht="13">
      <c r="L876" s="87"/>
    </row>
    <row r="877" spans="12:12" ht="13">
      <c r="L877" s="87"/>
    </row>
    <row r="878" spans="12:12" ht="13">
      <c r="L878" s="87"/>
    </row>
    <row r="879" spans="12:12" ht="13">
      <c r="L879" s="87"/>
    </row>
    <row r="880" spans="12:12" ht="13">
      <c r="L880" s="87"/>
    </row>
    <row r="881" spans="12:12" ht="13">
      <c r="L881" s="87"/>
    </row>
    <row r="882" spans="12:12" ht="13">
      <c r="L882" s="87"/>
    </row>
    <row r="883" spans="12:12" ht="13">
      <c r="L883" s="87"/>
    </row>
    <row r="884" spans="12:12" ht="13">
      <c r="L884" s="87"/>
    </row>
    <row r="885" spans="12:12" ht="13">
      <c r="L885" s="87"/>
    </row>
    <row r="886" spans="12:12" ht="13">
      <c r="L886" s="87"/>
    </row>
    <row r="887" spans="12:12" ht="13">
      <c r="L887" s="87"/>
    </row>
    <row r="888" spans="12:12" ht="13">
      <c r="L888" s="87"/>
    </row>
    <row r="889" spans="12:12" ht="13">
      <c r="L889" s="87"/>
    </row>
    <row r="890" spans="12:12" ht="13">
      <c r="L890" s="87"/>
    </row>
    <row r="891" spans="12:12" ht="13">
      <c r="L891" s="87"/>
    </row>
    <row r="892" spans="12:12" ht="13">
      <c r="L892" s="87"/>
    </row>
    <row r="893" spans="12:12" ht="13">
      <c r="L893" s="87"/>
    </row>
    <row r="894" spans="12:12" ht="13">
      <c r="L894" s="87"/>
    </row>
    <row r="895" spans="12:12" ht="13">
      <c r="L895" s="87"/>
    </row>
    <row r="896" spans="12:12" ht="13">
      <c r="L896" s="87"/>
    </row>
    <row r="897" spans="12:12" ht="13">
      <c r="L897" s="87"/>
    </row>
    <row r="898" spans="12:12" ht="13">
      <c r="L898" s="87"/>
    </row>
    <row r="899" spans="12:12" ht="13">
      <c r="L899" s="87"/>
    </row>
    <row r="900" spans="12:12" ht="13">
      <c r="L900" s="87"/>
    </row>
    <row r="901" spans="12:12" ht="13">
      <c r="L901" s="87"/>
    </row>
    <row r="902" spans="12:12" ht="13">
      <c r="L902" s="87"/>
    </row>
    <row r="903" spans="12:12" ht="13">
      <c r="L903" s="87"/>
    </row>
    <row r="904" spans="12:12" ht="13">
      <c r="L904" s="87"/>
    </row>
    <row r="905" spans="12:12" ht="13">
      <c r="L905" s="87"/>
    </row>
    <row r="906" spans="12:12" ht="13">
      <c r="L906" s="87"/>
    </row>
    <row r="907" spans="12:12" ht="13">
      <c r="L907" s="87"/>
    </row>
    <row r="908" spans="12:12" ht="13">
      <c r="L908" s="87"/>
    </row>
    <row r="909" spans="12:12" ht="13">
      <c r="L909" s="87"/>
    </row>
    <row r="910" spans="12:12" ht="13">
      <c r="L910" s="87"/>
    </row>
    <row r="911" spans="12:12" ht="13">
      <c r="L911" s="87"/>
    </row>
    <row r="912" spans="12:12" ht="13">
      <c r="L912" s="87"/>
    </row>
    <row r="913" spans="12:12" ht="13">
      <c r="L913" s="87"/>
    </row>
    <row r="914" spans="12:12" ht="13">
      <c r="L914" s="87"/>
    </row>
    <row r="915" spans="12:12" ht="13">
      <c r="L915" s="87"/>
    </row>
    <row r="916" spans="12:12" ht="13">
      <c r="L916" s="87"/>
    </row>
    <row r="917" spans="12:12" ht="13">
      <c r="L917" s="87"/>
    </row>
    <row r="918" spans="12:12" ht="13">
      <c r="L918" s="87"/>
    </row>
    <row r="919" spans="12:12" ht="13">
      <c r="L919" s="87"/>
    </row>
    <row r="920" spans="12:12" ht="13">
      <c r="L920" s="87"/>
    </row>
    <row r="921" spans="12:12" ht="13">
      <c r="L921" s="87"/>
    </row>
    <row r="922" spans="12:12" ht="13">
      <c r="L922" s="87"/>
    </row>
    <row r="923" spans="12:12" ht="13">
      <c r="L923" s="87"/>
    </row>
    <row r="924" spans="12:12" ht="13">
      <c r="L924" s="87"/>
    </row>
    <row r="925" spans="12:12" ht="13">
      <c r="L925" s="87"/>
    </row>
    <row r="926" spans="12:12" ht="13">
      <c r="L926" s="87"/>
    </row>
    <row r="927" spans="12:12" ht="13">
      <c r="L927" s="87"/>
    </row>
    <row r="928" spans="12:12" ht="13">
      <c r="L928" s="87"/>
    </row>
    <row r="929" spans="12:12" ht="13">
      <c r="L929" s="87"/>
    </row>
    <row r="930" spans="12:12" ht="13">
      <c r="L930" s="87"/>
    </row>
    <row r="931" spans="12:12" ht="13">
      <c r="L931" s="87"/>
    </row>
    <row r="932" spans="12:12" ht="13">
      <c r="L932" s="87"/>
    </row>
    <row r="933" spans="12:12" ht="13">
      <c r="L933" s="87"/>
    </row>
    <row r="934" spans="12:12" ht="13">
      <c r="L934" s="87"/>
    </row>
    <row r="935" spans="12:12" ht="13">
      <c r="L935" s="87"/>
    </row>
    <row r="936" spans="12:12" ht="13">
      <c r="L936" s="87"/>
    </row>
    <row r="937" spans="12:12" ht="13">
      <c r="L937" s="87"/>
    </row>
    <row r="938" spans="12:12" ht="13">
      <c r="L938" s="87"/>
    </row>
    <row r="939" spans="12:12" ht="13">
      <c r="L939" s="87"/>
    </row>
    <row r="940" spans="12:12" ht="13">
      <c r="L940" s="87"/>
    </row>
    <row r="941" spans="12:12" ht="13">
      <c r="L941" s="87"/>
    </row>
    <row r="942" spans="12:12" ht="13">
      <c r="L942" s="87"/>
    </row>
    <row r="943" spans="12:12" ht="13">
      <c r="L943" s="87"/>
    </row>
    <row r="944" spans="12:12" ht="13">
      <c r="L944" s="87"/>
    </row>
    <row r="945" spans="12:12" ht="13">
      <c r="L945" s="87"/>
    </row>
    <row r="946" spans="12:12" ht="13">
      <c r="L946" s="87"/>
    </row>
    <row r="947" spans="12:12" ht="13">
      <c r="L947" s="87"/>
    </row>
    <row r="948" spans="12:12" ht="13">
      <c r="L948" s="87"/>
    </row>
    <row r="949" spans="12:12" ht="13">
      <c r="L949" s="87"/>
    </row>
    <row r="950" spans="12:12" ht="13">
      <c r="L950" s="87"/>
    </row>
    <row r="951" spans="12:12" ht="13">
      <c r="L951" s="87"/>
    </row>
    <row r="952" spans="12:12" ht="13">
      <c r="L952" s="87"/>
    </row>
    <row r="953" spans="12:12" ht="13">
      <c r="L953" s="87"/>
    </row>
    <row r="954" spans="12:12" ht="13">
      <c r="L954" s="87"/>
    </row>
    <row r="955" spans="12:12" ht="13">
      <c r="L955" s="87"/>
    </row>
    <row r="956" spans="12:12" ht="13">
      <c r="L956" s="87"/>
    </row>
    <row r="957" spans="12:12" ht="13">
      <c r="L957" s="87"/>
    </row>
    <row r="958" spans="12:12" ht="13">
      <c r="L958" s="87"/>
    </row>
    <row r="959" spans="12:12" ht="13">
      <c r="L959" s="87"/>
    </row>
    <row r="960" spans="12:12" ht="13">
      <c r="L960" s="87"/>
    </row>
    <row r="961" spans="12:12" ht="13">
      <c r="L961" s="87"/>
    </row>
    <row r="962" spans="12:12" ht="13">
      <c r="L962" s="87"/>
    </row>
    <row r="963" spans="12:12" ht="13">
      <c r="L963" s="87"/>
    </row>
    <row r="964" spans="12:12" ht="13">
      <c r="L964" s="87"/>
    </row>
    <row r="965" spans="12:12" ht="13">
      <c r="L965" s="87"/>
    </row>
    <row r="966" spans="12:12" ht="13">
      <c r="L966" s="87"/>
    </row>
    <row r="967" spans="12:12" ht="13">
      <c r="L967" s="87"/>
    </row>
    <row r="968" spans="12:12" ht="13">
      <c r="L968" s="87"/>
    </row>
    <row r="969" spans="12:12" ht="13">
      <c r="L969" s="87"/>
    </row>
  </sheetData>
  <autoFilter ref="A1:X57" xr:uid="{00000000-0009-0000-0000-000002000000}"/>
  <dataValidations count="2">
    <dataValidation type="list" allowBlank="1" showErrorMessage="1" sqref="L2:L57" xr:uid="{00000000-0002-0000-0200-000000000000}">
      <formula1>"Forest &amp; Wildlife Clearance,Land Acquisition,Phase wise Sanctioning,Law and Order Issue,No Delay,Utility Shifting"</formula1>
    </dataValidation>
    <dataValidation type="list" allowBlank="1" showErrorMessage="1" sqref="Q2:Q57" xr:uid="{00000000-0002-0000-0200-000001000000}">
      <formula1>"Change in Scope of Work based on Actual Field requirement,Market Inflation increase in cost of raw material,Escalation in Land Acquisition value,Administrative reason,Uncertainity in Geological Condition,No Cost overrun"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R999"/>
  <sheetViews>
    <sheetView workbookViewId="0">
      <pane ySplit="1" topLeftCell="A2" activePane="bottomLeft" state="frozen"/>
      <selection pane="bottomLeft" activeCell="B3" sqref="B3"/>
    </sheetView>
  </sheetViews>
  <sheetFormatPr baseColWidth="10" defaultColWidth="12.6640625" defaultRowHeight="15.75" customHeight="1"/>
  <cols>
    <col min="1" max="1" width="6.1640625" customWidth="1"/>
    <col min="2" max="2" width="8.5" customWidth="1"/>
    <col min="3" max="3" width="6.5" customWidth="1"/>
    <col min="4" max="4" width="32.1640625" customWidth="1"/>
    <col min="10" max="10" width="21.83203125" customWidth="1"/>
    <col min="11" max="11" width="42.6640625" customWidth="1"/>
    <col min="12" max="12" width="60.6640625" customWidth="1"/>
    <col min="16" max="16" width="43.1640625" customWidth="1"/>
    <col min="17" max="18" width="58" customWidth="1"/>
  </cols>
  <sheetData>
    <row r="1" spans="1:18" ht="15.75" customHeight="1">
      <c r="A1" s="11" t="s">
        <v>0</v>
      </c>
      <c r="B1" s="11" t="s">
        <v>1</v>
      </c>
      <c r="C1" s="11" t="s">
        <v>2</v>
      </c>
      <c r="D1" s="11" t="s">
        <v>3</v>
      </c>
      <c r="E1" s="13" t="s">
        <v>5</v>
      </c>
      <c r="F1" s="13" t="s">
        <v>6</v>
      </c>
      <c r="G1" s="13" t="s">
        <v>7</v>
      </c>
      <c r="H1" s="8" t="s">
        <v>9</v>
      </c>
      <c r="I1" s="8" t="s">
        <v>13</v>
      </c>
      <c r="J1" s="8" t="s">
        <v>16</v>
      </c>
      <c r="K1" s="8" t="s">
        <v>17</v>
      </c>
      <c r="L1" s="9" t="s">
        <v>18</v>
      </c>
      <c r="M1" s="10" t="s">
        <v>19</v>
      </c>
      <c r="N1" s="10" t="s">
        <v>21</v>
      </c>
      <c r="O1" s="10" t="s">
        <v>23</v>
      </c>
      <c r="P1" s="10" t="s">
        <v>25</v>
      </c>
      <c r="Q1" s="12" t="s">
        <v>28</v>
      </c>
      <c r="R1" s="14" t="s">
        <v>33</v>
      </c>
    </row>
    <row r="2" spans="1:18" ht="15.75" customHeight="1">
      <c r="A2" s="23">
        <v>1</v>
      </c>
      <c r="B2" s="23" t="s">
        <v>34</v>
      </c>
      <c r="C2" s="23" t="s">
        <v>35</v>
      </c>
      <c r="D2" s="23" t="s">
        <v>42</v>
      </c>
      <c r="E2" s="23" t="s">
        <v>43</v>
      </c>
      <c r="F2" s="23">
        <v>2023</v>
      </c>
      <c r="G2" s="23">
        <v>28</v>
      </c>
      <c r="H2" s="26"/>
      <c r="I2" s="26">
        <v>46111</v>
      </c>
      <c r="J2" s="28"/>
      <c r="K2" s="28"/>
      <c r="L2" s="22" t="s">
        <v>45</v>
      </c>
      <c r="M2" s="28"/>
      <c r="N2" s="28"/>
      <c r="O2" s="28"/>
      <c r="P2" s="28"/>
      <c r="Q2" s="24"/>
      <c r="R2" s="28"/>
    </row>
    <row r="3" spans="1:18" ht="15.75" customHeight="1">
      <c r="A3" s="31">
        <v>21</v>
      </c>
      <c r="B3" s="31" t="s">
        <v>34</v>
      </c>
      <c r="C3" s="31" t="s">
        <v>49</v>
      </c>
      <c r="D3" s="31" t="s">
        <v>50</v>
      </c>
      <c r="E3" s="31" t="s">
        <v>43</v>
      </c>
      <c r="F3" s="31">
        <v>2022</v>
      </c>
      <c r="G3" s="31">
        <v>84</v>
      </c>
      <c r="H3" s="34"/>
      <c r="I3" s="34">
        <v>46111</v>
      </c>
      <c r="J3" s="28"/>
      <c r="K3" s="28"/>
      <c r="L3" s="22" t="s">
        <v>22</v>
      </c>
      <c r="M3" s="28"/>
      <c r="N3" s="28"/>
      <c r="O3" s="28"/>
      <c r="P3" s="28"/>
      <c r="Q3" s="24"/>
      <c r="R3" s="28"/>
    </row>
    <row r="4" spans="1:18" ht="15.75" customHeight="1">
      <c r="A4" s="23">
        <v>108</v>
      </c>
      <c r="B4" s="35" t="s">
        <v>34</v>
      </c>
      <c r="C4" s="35" t="s">
        <v>46</v>
      </c>
      <c r="D4" s="35" t="s">
        <v>56</v>
      </c>
      <c r="E4" s="35" t="s">
        <v>57</v>
      </c>
      <c r="F4" s="35">
        <v>2023</v>
      </c>
      <c r="G4" s="35">
        <v>4</v>
      </c>
      <c r="H4" s="36"/>
      <c r="I4" s="36">
        <v>46108</v>
      </c>
      <c r="J4" s="28"/>
      <c r="K4" s="28"/>
      <c r="L4" s="22" t="s">
        <v>24</v>
      </c>
      <c r="M4" s="28"/>
      <c r="N4" s="28"/>
      <c r="O4" s="28"/>
      <c r="P4" s="28"/>
      <c r="Q4" s="24"/>
      <c r="R4" s="28"/>
    </row>
    <row r="5" spans="1:18" ht="15.75" customHeight="1">
      <c r="A5" s="23">
        <v>2</v>
      </c>
      <c r="B5" s="23" t="s">
        <v>61</v>
      </c>
      <c r="C5" s="23" t="s">
        <v>35</v>
      </c>
      <c r="D5" s="23" t="s">
        <v>64</v>
      </c>
      <c r="E5" s="23" t="s">
        <v>65</v>
      </c>
      <c r="F5" s="23">
        <v>2020</v>
      </c>
      <c r="G5" s="23">
        <v>14</v>
      </c>
      <c r="H5" s="39">
        <v>46905</v>
      </c>
      <c r="I5" s="26">
        <v>46384</v>
      </c>
      <c r="J5" s="28" t="s">
        <v>67</v>
      </c>
      <c r="K5" s="41" t="s">
        <v>69</v>
      </c>
      <c r="L5" s="22" t="s">
        <v>22</v>
      </c>
      <c r="M5" s="43">
        <v>278.95999999999998</v>
      </c>
      <c r="N5" s="28">
        <v>494.67</v>
      </c>
      <c r="O5" s="44">
        <f>N5-M5</f>
        <v>215.71000000000004</v>
      </c>
      <c r="P5" s="28" t="s">
        <v>77</v>
      </c>
      <c r="Q5" s="41"/>
      <c r="R5" s="41" t="s">
        <v>78</v>
      </c>
    </row>
    <row r="6" spans="1:18" ht="15.75" customHeight="1">
      <c r="A6" s="17">
        <v>14</v>
      </c>
      <c r="B6" s="17" t="s">
        <v>61</v>
      </c>
      <c r="C6" s="17" t="s">
        <v>35</v>
      </c>
      <c r="D6" s="17" t="s">
        <v>82</v>
      </c>
      <c r="E6" s="17" t="s">
        <v>43</v>
      </c>
      <c r="F6" s="17">
        <v>2022</v>
      </c>
      <c r="G6" s="17">
        <v>9</v>
      </c>
      <c r="H6" s="19">
        <v>46108</v>
      </c>
      <c r="I6" s="19">
        <v>46108</v>
      </c>
      <c r="J6" s="28" t="s">
        <v>86</v>
      </c>
      <c r="K6" s="28" t="s">
        <v>86</v>
      </c>
      <c r="L6" s="22" t="s">
        <v>87</v>
      </c>
      <c r="M6" s="28">
        <v>190.9</v>
      </c>
      <c r="N6" s="28">
        <v>190.9</v>
      </c>
      <c r="O6" s="28" t="s">
        <v>86</v>
      </c>
      <c r="P6" s="28" t="s">
        <v>72</v>
      </c>
      <c r="Q6" s="28"/>
      <c r="R6" s="28"/>
    </row>
    <row r="7" spans="1:18" ht="15.75" customHeight="1">
      <c r="A7" s="31">
        <v>16</v>
      </c>
      <c r="B7" s="31" t="s">
        <v>61</v>
      </c>
      <c r="C7" s="31" t="s">
        <v>35</v>
      </c>
      <c r="D7" s="31" t="s">
        <v>93</v>
      </c>
      <c r="E7" s="31" t="s">
        <v>43</v>
      </c>
      <c r="F7" s="31">
        <v>2022</v>
      </c>
      <c r="G7" s="31">
        <v>13</v>
      </c>
      <c r="H7" s="31">
        <v>2024</v>
      </c>
      <c r="I7" s="34">
        <v>46201</v>
      </c>
      <c r="J7" s="28" t="s">
        <v>96</v>
      </c>
      <c r="K7" s="28" t="s">
        <v>98</v>
      </c>
      <c r="L7" s="22" t="s">
        <v>22</v>
      </c>
      <c r="M7" s="28">
        <v>189.93</v>
      </c>
      <c r="N7" s="28">
        <v>189.93</v>
      </c>
      <c r="O7" s="28">
        <v>0</v>
      </c>
      <c r="P7" s="28" t="s">
        <v>72</v>
      </c>
      <c r="Q7" s="28"/>
      <c r="R7" s="28" t="s">
        <v>100</v>
      </c>
    </row>
    <row r="8" spans="1:18" ht="15.75" customHeight="1">
      <c r="A8" s="31">
        <v>19</v>
      </c>
      <c r="B8" s="31" t="s">
        <v>61</v>
      </c>
      <c r="C8" s="31" t="s">
        <v>35</v>
      </c>
      <c r="D8" s="31" t="s">
        <v>102</v>
      </c>
      <c r="E8" s="31" t="s">
        <v>57</v>
      </c>
      <c r="F8" s="31">
        <v>2024</v>
      </c>
      <c r="G8" s="31">
        <v>32.020000000000003</v>
      </c>
      <c r="H8" s="34">
        <v>46382</v>
      </c>
      <c r="I8" s="34">
        <v>46385</v>
      </c>
      <c r="J8" s="28" t="s">
        <v>104</v>
      </c>
      <c r="K8" s="28" t="s">
        <v>106</v>
      </c>
      <c r="L8" s="22" t="s">
        <v>22</v>
      </c>
      <c r="M8" s="28">
        <v>492.12</v>
      </c>
      <c r="N8" s="28">
        <v>1038.27</v>
      </c>
      <c r="O8" s="28">
        <v>546.15</v>
      </c>
      <c r="P8" s="28" t="s">
        <v>108</v>
      </c>
      <c r="Q8" s="28"/>
      <c r="R8" s="28" t="s">
        <v>110</v>
      </c>
    </row>
    <row r="9" spans="1:18" ht="15.75" customHeight="1">
      <c r="A9" s="49">
        <v>31</v>
      </c>
      <c r="B9" s="49" t="s">
        <v>61</v>
      </c>
      <c r="C9" s="49" t="s">
        <v>46</v>
      </c>
      <c r="D9" s="49" t="s">
        <v>116</v>
      </c>
      <c r="E9" s="49" t="s">
        <v>57</v>
      </c>
      <c r="F9" s="49">
        <v>2023</v>
      </c>
      <c r="G9" s="49">
        <v>385</v>
      </c>
      <c r="H9" s="49">
        <v>2028</v>
      </c>
      <c r="I9" s="49" t="s">
        <v>120</v>
      </c>
      <c r="J9" s="28" t="s">
        <v>121</v>
      </c>
      <c r="K9" s="28" t="s">
        <v>106</v>
      </c>
      <c r="L9" s="22" t="s">
        <v>22</v>
      </c>
      <c r="M9" s="28" t="s">
        <v>122</v>
      </c>
      <c r="N9" s="28">
        <v>4962.87</v>
      </c>
      <c r="O9" s="28">
        <v>0</v>
      </c>
      <c r="P9" s="28" t="s">
        <v>72</v>
      </c>
      <c r="Q9" s="28"/>
      <c r="R9" s="28"/>
    </row>
    <row r="10" spans="1:18" ht="15.75" customHeight="1">
      <c r="A10" s="49">
        <v>32</v>
      </c>
      <c r="B10" s="49" t="s">
        <v>61</v>
      </c>
      <c r="C10" s="49" t="s">
        <v>46</v>
      </c>
      <c r="D10" s="49" t="s">
        <v>129</v>
      </c>
      <c r="E10" s="49" t="s">
        <v>65</v>
      </c>
      <c r="F10" s="49">
        <v>2019</v>
      </c>
      <c r="G10" s="49">
        <v>20</v>
      </c>
      <c r="H10" s="49">
        <v>2026</v>
      </c>
      <c r="I10" s="50">
        <v>46384</v>
      </c>
      <c r="J10" s="28" t="s">
        <v>134</v>
      </c>
      <c r="K10" s="28" t="s">
        <v>106</v>
      </c>
      <c r="L10" s="22" t="s">
        <v>22</v>
      </c>
      <c r="M10" s="28">
        <v>151.41999999999999</v>
      </c>
      <c r="N10" s="28">
        <v>257.97000000000003</v>
      </c>
      <c r="O10" s="28">
        <v>106.55</v>
      </c>
      <c r="P10" s="41" t="s">
        <v>137</v>
      </c>
      <c r="Q10" s="28"/>
      <c r="R10" s="28" t="s">
        <v>138</v>
      </c>
    </row>
    <row r="11" spans="1:18" ht="15.75" customHeight="1">
      <c r="A11" s="23">
        <v>84</v>
      </c>
      <c r="B11" s="49" t="s">
        <v>139</v>
      </c>
      <c r="C11" s="49" t="s">
        <v>46</v>
      </c>
      <c r="D11" s="49" t="s">
        <v>141</v>
      </c>
      <c r="E11" s="49" t="s">
        <v>43</v>
      </c>
      <c r="F11" s="49">
        <v>2023</v>
      </c>
      <c r="G11" s="49">
        <v>5</v>
      </c>
      <c r="H11" s="17" t="s">
        <v>145</v>
      </c>
      <c r="I11" s="50">
        <v>46262</v>
      </c>
      <c r="J11" s="28" t="s">
        <v>146</v>
      </c>
      <c r="K11" s="41" t="s">
        <v>148</v>
      </c>
      <c r="L11" s="22" t="s">
        <v>27</v>
      </c>
      <c r="M11" s="28">
        <v>81.22</v>
      </c>
      <c r="N11" s="28">
        <v>135.82</v>
      </c>
      <c r="O11" s="28">
        <f>N11-M11</f>
        <v>54.599999999999994</v>
      </c>
      <c r="P11" s="28" t="s">
        <v>164</v>
      </c>
      <c r="Q11" s="28"/>
      <c r="R11" s="28" t="s">
        <v>165</v>
      </c>
    </row>
    <row r="12" spans="1:18" ht="15.75" customHeight="1">
      <c r="A12" s="23">
        <v>90</v>
      </c>
      <c r="B12" s="49" t="s">
        <v>61</v>
      </c>
      <c r="C12" s="49" t="s">
        <v>46</v>
      </c>
      <c r="D12" s="49" t="s">
        <v>167</v>
      </c>
      <c r="E12" s="49" t="s">
        <v>43</v>
      </c>
      <c r="F12" s="49">
        <v>2023</v>
      </c>
      <c r="G12" s="49">
        <v>13</v>
      </c>
      <c r="H12" s="54">
        <v>46082</v>
      </c>
      <c r="I12" s="50">
        <v>46384</v>
      </c>
      <c r="J12" s="28" t="s">
        <v>172</v>
      </c>
      <c r="K12" s="28" t="s">
        <v>173</v>
      </c>
      <c r="L12" s="22" t="s">
        <v>22</v>
      </c>
      <c r="M12" s="28">
        <v>143.19999999999999</v>
      </c>
      <c r="N12" s="28">
        <v>143.19999999999999</v>
      </c>
      <c r="O12" s="28">
        <v>0</v>
      </c>
      <c r="P12" s="28" t="s">
        <v>72</v>
      </c>
      <c r="Q12" s="28"/>
      <c r="R12" s="28" t="s">
        <v>177</v>
      </c>
    </row>
    <row r="13" spans="1:18" ht="15.75" customHeight="1">
      <c r="A13" s="23">
        <v>93</v>
      </c>
      <c r="B13" s="49" t="s">
        <v>61</v>
      </c>
      <c r="C13" s="49" t="s">
        <v>46</v>
      </c>
      <c r="D13" s="49" t="s">
        <v>178</v>
      </c>
      <c r="E13" s="49" t="s">
        <v>57</v>
      </c>
      <c r="F13" s="49">
        <v>2023</v>
      </c>
      <c r="G13" s="49">
        <v>21</v>
      </c>
      <c r="H13" s="17" t="s">
        <v>179</v>
      </c>
      <c r="I13" s="50">
        <v>46231</v>
      </c>
      <c r="J13" s="28" t="s">
        <v>180</v>
      </c>
      <c r="K13" s="41" t="s">
        <v>181</v>
      </c>
      <c r="L13" s="22" t="s">
        <v>183</v>
      </c>
      <c r="M13" s="28">
        <v>302.25</v>
      </c>
      <c r="N13" s="28">
        <v>452.13</v>
      </c>
      <c r="O13" s="28">
        <f>N13-M13</f>
        <v>149.88</v>
      </c>
      <c r="P13" s="28" t="s">
        <v>189</v>
      </c>
      <c r="Q13" s="28"/>
      <c r="R13" s="28" t="s">
        <v>165</v>
      </c>
    </row>
    <row r="14" spans="1:18" ht="15.75" customHeight="1">
      <c r="A14" s="23">
        <v>94</v>
      </c>
      <c r="B14" s="49" t="s">
        <v>61</v>
      </c>
      <c r="C14" s="49" t="s">
        <v>46</v>
      </c>
      <c r="D14" s="49" t="s">
        <v>195</v>
      </c>
      <c r="E14" s="49" t="s">
        <v>57</v>
      </c>
      <c r="F14" s="49">
        <v>2023</v>
      </c>
      <c r="G14" s="49">
        <v>12</v>
      </c>
      <c r="H14" s="17" t="s">
        <v>179</v>
      </c>
      <c r="I14" s="50">
        <v>46383</v>
      </c>
      <c r="J14" s="28" t="s">
        <v>196</v>
      </c>
      <c r="K14" s="41" t="s">
        <v>197</v>
      </c>
      <c r="L14" s="22" t="s">
        <v>22</v>
      </c>
      <c r="M14" s="28">
        <v>154.28</v>
      </c>
      <c r="N14" s="28">
        <v>154.28</v>
      </c>
      <c r="O14" s="28">
        <v>0</v>
      </c>
      <c r="P14" s="28" t="s">
        <v>72</v>
      </c>
      <c r="Q14" s="28"/>
      <c r="R14" s="28"/>
    </row>
    <row r="15" spans="1:18" ht="15.75" customHeight="1">
      <c r="A15" s="23">
        <v>95</v>
      </c>
      <c r="B15" s="49" t="s">
        <v>61</v>
      </c>
      <c r="C15" s="49" t="s">
        <v>46</v>
      </c>
      <c r="D15" s="49" t="s">
        <v>200</v>
      </c>
      <c r="E15" s="49" t="s">
        <v>57</v>
      </c>
      <c r="F15" s="49">
        <v>2023</v>
      </c>
      <c r="G15" s="49">
        <v>7</v>
      </c>
      <c r="H15" s="49" t="s">
        <v>201</v>
      </c>
      <c r="I15" s="50">
        <v>46201</v>
      </c>
      <c r="J15" s="28" t="s">
        <v>202</v>
      </c>
      <c r="K15" s="41" t="s">
        <v>203</v>
      </c>
      <c r="L15" s="22" t="s">
        <v>22</v>
      </c>
      <c r="M15" s="28">
        <v>183.65</v>
      </c>
      <c r="N15" s="28">
        <v>292.83</v>
      </c>
      <c r="O15" s="28">
        <f>N15-M15</f>
        <v>109.17999999999998</v>
      </c>
      <c r="P15" s="28" t="s">
        <v>205</v>
      </c>
      <c r="Q15" s="28"/>
      <c r="R15" s="28" t="s">
        <v>165</v>
      </c>
    </row>
    <row r="16" spans="1:18" ht="15.75" customHeight="1">
      <c r="A16" s="35">
        <v>98</v>
      </c>
      <c r="B16" s="35" t="s">
        <v>61</v>
      </c>
      <c r="C16" s="35" t="s">
        <v>46</v>
      </c>
      <c r="D16" s="35" t="s">
        <v>207</v>
      </c>
      <c r="E16" s="35" t="s">
        <v>57</v>
      </c>
      <c r="F16" s="35">
        <v>2023</v>
      </c>
      <c r="G16" s="35">
        <v>16</v>
      </c>
      <c r="H16" s="36">
        <v>46381</v>
      </c>
      <c r="I16" s="36">
        <v>46108</v>
      </c>
      <c r="J16" s="28" t="s">
        <v>209</v>
      </c>
      <c r="K16" s="28" t="s">
        <v>210</v>
      </c>
      <c r="L16" s="22" t="s">
        <v>45</v>
      </c>
      <c r="M16" s="28">
        <v>252.18</v>
      </c>
      <c r="N16" s="28">
        <v>252.18</v>
      </c>
      <c r="O16" s="28">
        <v>0</v>
      </c>
      <c r="P16" s="28" t="s">
        <v>72</v>
      </c>
      <c r="Q16" s="28"/>
      <c r="R16" s="28"/>
    </row>
    <row r="17" spans="1:18" ht="15.75" customHeight="1">
      <c r="A17" s="23">
        <v>99</v>
      </c>
      <c r="B17" s="23" t="s">
        <v>61</v>
      </c>
      <c r="C17" s="23" t="s">
        <v>46</v>
      </c>
      <c r="D17" s="23" t="s">
        <v>215</v>
      </c>
      <c r="E17" s="23" t="s">
        <v>57</v>
      </c>
      <c r="F17" s="23">
        <v>2023</v>
      </c>
      <c r="G17" s="23">
        <v>5</v>
      </c>
      <c r="H17" s="23">
        <v>2026</v>
      </c>
      <c r="I17" s="26">
        <v>46201</v>
      </c>
      <c r="J17" s="28" t="s">
        <v>219</v>
      </c>
      <c r="K17" s="28" t="s">
        <v>220</v>
      </c>
      <c r="L17" s="22" t="s">
        <v>22</v>
      </c>
      <c r="M17" s="28">
        <v>143.72</v>
      </c>
      <c r="N17" s="28" t="s">
        <v>227</v>
      </c>
      <c r="O17" s="28">
        <v>0</v>
      </c>
      <c r="P17" s="28">
        <v>0</v>
      </c>
      <c r="Q17" s="28"/>
      <c r="R17" s="28" t="s">
        <v>229</v>
      </c>
    </row>
    <row r="18" spans="1:18" ht="15.75" customHeight="1">
      <c r="A18" s="23">
        <v>100</v>
      </c>
      <c r="B18" s="23" t="s">
        <v>61</v>
      </c>
      <c r="C18" s="23" t="s">
        <v>46</v>
      </c>
      <c r="D18" s="23" t="s">
        <v>231</v>
      </c>
      <c r="E18" s="23" t="s">
        <v>57</v>
      </c>
      <c r="F18" s="23">
        <v>2023</v>
      </c>
      <c r="G18" s="23">
        <v>7</v>
      </c>
      <c r="H18" s="23">
        <v>2027</v>
      </c>
      <c r="I18" s="26">
        <v>46384</v>
      </c>
      <c r="J18" s="28" t="s">
        <v>121</v>
      </c>
      <c r="K18" s="28" t="s">
        <v>220</v>
      </c>
      <c r="L18" s="22" t="s">
        <v>22</v>
      </c>
      <c r="M18" s="28">
        <v>200.77</v>
      </c>
      <c r="N18" s="28" t="s">
        <v>232</v>
      </c>
      <c r="O18" s="28">
        <v>47.86</v>
      </c>
      <c r="P18" s="28" t="s">
        <v>233</v>
      </c>
      <c r="Q18" s="28"/>
      <c r="R18" s="28"/>
    </row>
    <row r="19" spans="1:18" ht="15.75" customHeight="1">
      <c r="A19" s="23">
        <v>101</v>
      </c>
      <c r="B19" s="23" t="s">
        <v>61</v>
      </c>
      <c r="C19" s="23" t="s">
        <v>46</v>
      </c>
      <c r="D19" s="23" t="s">
        <v>236</v>
      </c>
      <c r="E19" s="23" t="s">
        <v>57</v>
      </c>
      <c r="F19" s="23">
        <v>2023</v>
      </c>
      <c r="G19" s="23">
        <v>15</v>
      </c>
      <c r="H19" s="23" t="s">
        <v>179</v>
      </c>
      <c r="I19" s="26">
        <v>46262</v>
      </c>
      <c r="J19" s="28" t="s">
        <v>146</v>
      </c>
      <c r="K19" s="41" t="s">
        <v>238</v>
      </c>
      <c r="L19" s="22" t="s">
        <v>22</v>
      </c>
      <c r="M19" s="28">
        <v>159.47</v>
      </c>
      <c r="N19" s="28">
        <v>231.76</v>
      </c>
      <c r="O19" s="28">
        <f t="shared" ref="O19:O20" si="0">N19-M19</f>
        <v>72.289999999999992</v>
      </c>
      <c r="P19" s="28" t="s">
        <v>250</v>
      </c>
      <c r="Q19" s="28"/>
      <c r="R19" s="28"/>
    </row>
    <row r="20" spans="1:18" ht="15.75" customHeight="1">
      <c r="A20" s="23">
        <v>112</v>
      </c>
      <c r="B20" s="23" t="s">
        <v>61</v>
      </c>
      <c r="C20" s="23" t="s">
        <v>46</v>
      </c>
      <c r="D20" s="23" t="s">
        <v>252</v>
      </c>
      <c r="E20" s="23" t="s">
        <v>57</v>
      </c>
      <c r="F20" s="23">
        <v>2023</v>
      </c>
      <c r="G20" s="23">
        <v>35</v>
      </c>
      <c r="H20" s="23" t="s">
        <v>253</v>
      </c>
      <c r="I20" s="26">
        <v>46262</v>
      </c>
      <c r="J20" s="28" t="s">
        <v>254</v>
      </c>
      <c r="K20" s="41" t="s">
        <v>255</v>
      </c>
      <c r="L20" s="22" t="s">
        <v>22</v>
      </c>
      <c r="M20" s="42">
        <v>492.93</v>
      </c>
      <c r="N20" s="28">
        <v>536.79999999999995</v>
      </c>
      <c r="O20" s="28">
        <f t="shared" si="0"/>
        <v>43.869999999999948</v>
      </c>
      <c r="P20" s="28" t="s">
        <v>258</v>
      </c>
      <c r="Q20" s="28"/>
      <c r="R20" s="28"/>
    </row>
    <row r="21" spans="1:18" ht="15.75" customHeight="1">
      <c r="A21" s="23">
        <v>115</v>
      </c>
      <c r="B21" s="23" t="s">
        <v>139</v>
      </c>
      <c r="C21" s="23" t="s">
        <v>46</v>
      </c>
      <c r="D21" s="23" t="s">
        <v>260</v>
      </c>
      <c r="E21" s="23" t="s">
        <v>57</v>
      </c>
      <c r="F21" s="23">
        <v>2023</v>
      </c>
      <c r="G21" s="23">
        <v>19</v>
      </c>
      <c r="H21" s="23" t="s">
        <v>262</v>
      </c>
      <c r="I21" s="26">
        <v>46201</v>
      </c>
      <c r="J21" s="28" t="s">
        <v>107</v>
      </c>
      <c r="K21" s="28" t="s">
        <v>107</v>
      </c>
      <c r="L21" s="22"/>
      <c r="M21" s="28">
        <v>300.14999999999998</v>
      </c>
      <c r="N21" s="28">
        <v>300.14999999999998</v>
      </c>
      <c r="O21" s="28" t="s">
        <v>107</v>
      </c>
      <c r="P21" s="28" t="s">
        <v>107</v>
      </c>
      <c r="Q21" s="24" t="s">
        <v>265</v>
      </c>
      <c r="R21" s="28" t="s">
        <v>229</v>
      </c>
    </row>
    <row r="22" spans="1:18" ht="15.75" customHeight="1">
      <c r="A22" s="31">
        <v>125</v>
      </c>
      <c r="B22" s="23" t="s">
        <v>61</v>
      </c>
      <c r="C22" s="23" t="s">
        <v>46</v>
      </c>
      <c r="D22" s="23" t="s">
        <v>268</v>
      </c>
      <c r="E22" s="23" t="s">
        <v>57</v>
      </c>
      <c r="F22" s="23">
        <v>2024</v>
      </c>
      <c r="G22" s="23">
        <v>5</v>
      </c>
      <c r="H22" s="23" t="s">
        <v>272</v>
      </c>
      <c r="I22" s="26">
        <v>46384</v>
      </c>
      <c r="J22" s="28" t="s">
        <v>274</v>
      </c>
      <c r="K22" s="20" t="s">
        <v>106</v>
      </c>
      <c r="L22" s="22" t="s">
        <v>22</v>
      </c>
      <c r="M22" s="28" t="s">
        <v>276</v>
      </c>
      <c r="N22" s="28" t="s">
        <v>276</v>
      </c>
      <c r="O22" s="28">
        <v>0</v>
      </c>
      <c r="P22" s="28" t="s">
        <v>72</v>
      </c>
      <c r="Q22" s="28"/>
      <c r="R22" s="28" t="s">
        <v>279</v>
      </c>
    </row>
    <row r="23" spans="1:18" ht="15.75" customHeight="1">
      <c r="A23" s="35">
        <v>133</v>
      </c>
      <c r="B23" s="17" t="s">
        <v>139</v>
      </c>
      <c r="C23" s="17" t="s">
        <v>46</v>
      </c>
      <c r="D23" s="17" t="s">
        <v>281</v>
      </c>
      <c r="E23" s="17" t="s">
        <v>57</v>
      </c>
      <c r="F23" s="17">
        <v>2024</v>
      </c>
      <c r="G23" s="17">
        <v>11</v>
      </c>
      <c r="H23" s="17" t="s">
        <v>285</v>
      </c>
      <c r="I23" s="19">
        <v>46080</v>
      </c>
      <c r="J23" s="28" t="s">
        <v>286</v>
      </c>
      <c r="K23" s="20" t="s">
        <v>106</v>
      </c>
      <c r="L23" s="22" t="s">
        <v>22</v>
      </c>
      <c r="M23" s="62">
        <v>151.61000000000001</v>
      </c>
      <c r="N23" s="62">
        <v>151.61000000000001</v>
      </c>
      <c r="O23" s="28" t="s">
        <v>72</v>
      </c>
      <c r="P23" s="28" t="s">
        <v>72</v>
      </c>
      <c r="Q23" s="28"/>
      <c r="R23" s="28" t="s">
        <v>107</v>
      </c>
    </row>
    <row r="24" spans="1:18" ht="15.75" customHeight="1">
      <c r="A24" s="63">
        <v>33</v>
      </c>
      <c r="B24" s="63" t="s">
        <v>174</v>
      </c>
      <c r="C24" s="63" t="s">
        <v>46</v>
      </c>
      <c r="D24" s="63" t="s">
        <v>292</v>
      </c>
      <c r="E24" s="63" t="s">
        <v>57</v>
      </c>
      <c r="F24" s="63">
        <v>2023</v>
      </c>
      <c r="G24" s="63">
        <v>28</v>
      </c>
      <c r="H24" s="65"/>
      <c r="I24" s="65">
        <v>46080</v>
      </c>
      <c r="J24" s="28"/>
      <c r="K24" s="28"/>
      <c r="M24" s="28"/>
      <c r="N24" s="28"/>
      <c r="O24" s="28"/>
      <c r="P24" s="28"/>
      <c r="Q24" s="24"/>
      <c r="R24" s="28"/>
    </row>
    <row r="25" spans="1:18" ht="15.75" customHeight="1">
      <c r="A25" s="49">
        <v>34</v>
      </c>
      <c r="B25" s="49" t="s">
        <v>174</v>
      </c>
      <c r="C25" s="49" t="s">
        <v>46</v>
      </c>
      <c r="D25" s="49" t="s">
        <v>296</v>
      </c>
      <c r="E25" s="49" t="s">
        <v>43</v>
      </c>
      <c r="F25" s="49">
        <v>2022</v>
      </c>
      <c r="G25" s="49">
        <v>32</v>
      </c>
      <c r="H25" s="67">
        <v>45748</v>
      </c>
      <c r="I25" s="50">
        <v>46201</v>
      </c>
      <c r="J25" s="28" t="s">
        <v>298</v>
      </c>
      <c r="K25" s="41" t="s">
        <v>299</v>
      </c>
      <c r="L25" s="22" t="s">
        <v>45</v>
      </c>
      <c r="M25" s="28">
        <v>485.58</v>
      </c>
      <c r="N25" s="28">
        <f>M25</f>
        <v>485.58</v>
      </c>
      <c r="O25" s="28">
        <v>0</v>
      </c>
      <c r="P25" s="28" t="s">
        <v>72</v>
      </c>
      <c r="Q25" s="24" t="s">
        <v>265</v>
      </c>
      <c r="R25" s="28"/>
    </row>
    <row r="26" spans="1:18" ht="15.75" customHeight="1">
      <c r="A26" s="49">
        <v>35</v>
      </c>
      <c r="B26" s="49" t="s">
        <v>174</v>
      </c>
      <c r="C26" s="49" t="s">
        <v>46</v>
      </c>
      <c r="D26" s="49" t="s">
        <v>307</v>
      </c>
      <c r="E26" s="49" t="s">
        <v>43</v>
      </c>
      <c r="F26" s="49">
        <v>2022</v>
      </c>
      <c r="G26" s="49">
        <v>10</v>
      </c>
      <c r="H26" s="50"/>
      <c r="I26" s="50">
        <v>46200</v>
      </c>
      <c r="J26" s="28"/>
      <c r="K26" s="28"/>
      <c r="L26" s="22" t="s">
        <v>22</v>
      </c>
      <c r="M26" s="28"/>
      <c r="N26" s="28"/>
      <c r="O26" s="28"/>
      <c r="P26" s="28"/>
      <c r="Q26" s="24"/>
      <c r="R26" s="28"/>
    </row>
    <row r="27" spans="1:18" ht="15.75" customHeight="1">
      <c r="A27" s="63">
        <v>36</v>
      </c>
      <c r="B27" s="63" t="s">
        <v>174</v>
      </c>
      <c r="C27" s="63" t="s">
        <v>46</v>
      </c>
      <c r="D27" s="63" t="s">
        <v>311</v>
      </c>
      <c r="E27" s="63" t="s">
        <v>43</v>
      </c>
      <c r="F27" s="63">
        <v>2022</v>
      </c>
      <c r="G27" s="63">
        <v>20</v>
      </c>
      <c r="H27" s="65"/>
      <c r="I27" s="65">
        <v>46382</v>
      </c>
      <c r="J27" s="28"/>
      <c r="K27" s="28"/>
      <c r="L27" s="22"/>
      <c r="M27" s="28"/>
      <c r="N27" s="28"/>
      <c r="O27" s="28"/>
      <c r="P27" s="28"/>
      <c r="Q27" s="24"/>
      <c r="R27" s="28"/>
    </row>
    <row r="28" spans="1:18" ht="15.75" customHeight="1">
      <c r="A28" s="31">
        <v>74</v>
      </c>
      <c r="B28" s="31" t="s">
        <v>174</v>
      </c>
      <c r="C28" s="31" t="s">
        <v>46</v>
      </c>
      <c r="D28" s="31" t="s">
        <v>314</v>
      </c>
      <c r="E28" s="31" t="s">
        <v>43</v>
      </c>
      <c r="F28" s="31">
        <v>2022</v>
      </c>
      <c r="G28" s="31">
        <v>11</v>
      </c>
      <c r="H28" s="34"/>
      <c r="I28" s="34">
        <v>46200</v>
      </c>
      <c r="J28" s="28"/>
      <c r="K28" s="28"/>
      <c r="L28" s="22"/>
      <c r="M28" s="28"/>
      <c r="N28" s="28"/>
      <c r="O28" s="28"/>
      <c r="P28" s="28"/>
      <c r="Q28" s="24"/>
      <c r="R28" s="28"/>
    </row>
    <row r="29" spans="1:18" ht="15.75" customHeight="1">
      <c r="A29" s="23">
        <v>96</v>
      </c>
      <c r="B29" s="23" t="s">
        <v>174</v>
      </c>
      <c r="C29" s="23" t="s">
        <v>46</v>
      </c>
      <c r="D29" s="23" t="s">
        <v>317</v>
      </c>
      <c r="E29" s="23" t="s">
        <v>57</v>
      </c>
      <c r="F29" s="23">
        <v>2023</v>
      </c>
      <c r="G29" s="23">
        <v>7</v>
      </c>
      <c r="H29" s="26"/>
      <c r="I29" s="26">
        <v>46081</v>
      </c>
      <c r="J29" s="28"/>
      <c r="K29" s="28"/>
      <c r="L29" s="22"/>
      <c r="M29" s="28"/>
      <c r="N29" s="28"/>
      <c r="O29" s="28"/>
      <c r="P29" s="28"/>
      <c r="Q29" s="24"/>
      <c r="R29" s="28"/>
    </row>
    <row r="30" spans="1:18" ht="15.75" customHeight="1">
      <c r="A30" s="23">
        <v>102</v>
      </c>
      <c r="B30" s="23" t="s">
        <v>174</v>
      </c>
      <c r="C30" s="23" t="s">
        <v>46</v>
      </c>
      <c r="D30" s="23" t="s">
        <v>323</v>
      </c>
      <c r="E30" s="23" t="s">
        <v>57</v>
      </c>
      <c r="F30" s="23">
        <v>2023</v>
      </c>
      <c r="G30" s="23">
        <v>7</v>
      </c>
      <c r="H30" s="26"/>
      <c r="I30" s="26">
        <v>46109</v>
      </c>
      <c r="J30" s="28"/>
      <c r="K30" s="28"/>
      <c r="L30" s="22"/>
      <c r="M30" s="28"/>
      <c r="N30" s="28"/>
      <c r="O30" s="28"/>
      <c r="P30" s="28"/>
      <c r="Q30" s="24"/>
      <c r="R30" s="28"/>
    </row>
    <row r="31" spans="1:18" ht="15.75" customHeight="1">
      <c r="A31" s="23">
        <v>103</v>
      </c>
      <c r="B31" s="23" t="s">
        <v>174</v>
      </c>
      <c r="C31" s="23" t="s">
        <v>46</v>
      </c>
      <c r="D31" s="23" t="s">
        <v>328</v>
      </c>
      <c r="E31" s="23" t="s">
        <v>57</v>
      </c>
      <c r="F31" s="23">
        <v>2023</v>
      </c>
      <c r="G31" s="23">
        <v>9</v>
      </c>
      <c r="H31" s="26"/>
      <c r="I31" s="26">
        <v>46109</v>
      </c>
      <c r="J31" s="28"/>
      <c r="K31" s="28"/>
      <c r="L31" s="22"/>
      <c r="M31" s="28"/>
      <c r="N31" s="28"/>
      <c r="O31" s="28"/>
      <c r="P31" s="28"/>
      <c r="Q31" s="24"/>
      <c r="R31" s="28"/>
    </row>
    <row r="32" spans="1:18" ht="15.75" customHeight="1">
      <c r="A32" s="23">
        <v>104</v>
      </c>
      <c r="B32" s="23" t="s">
        <v>174</v>
      </c>
      <c r="C32" s="23" t="s">
        <v>46</v>
      </c>
      <c r="D32" s="23" t="s">
        <v>331</v>
      </c>
      <c r="E32" s="23" t="s">
        <v>57</v>
      </c>
      <c r="F32" s="23">
        <v>2023</v>
      </c>
      <c r="G32" s="23">
        <v>3</v>
      </c>
      <c r="H32" s="26"/>
      <c r="I32" s="26">
        <v>46109</v>
      </c>
      <c r="J32" s="28"/>
      <c r="K32" s="28"/>
      <c r="L32" s="22"/>
      <c r="M32" s="28"/>
      <c r="N32" s="28"/>
      <c r="O32" s="28"/>
      <c r="P32" s="28"/>
      <c r="Q32" s="24"/>
      <c r="R32" s="28"/>
    </row>
    <row r="33" spans="1:18" ht="15.75" customHeight="1">
      <c r="A33" s="23">
        <v>111</v>
      </c>
      <c r="B33" s="23" t="s">
        <v>174</v>
      </c>
      <c r="C33" s="23" t="s">
        <v>46</v>
      </c>
      <c r="D33" s="23" t="s">
        <v>337</v>
      </c>
      <c r="E33" s="23" t="s">
        <v>57</v>
      </c>
      <c r="F33" s="23">
        <v>2023</v>
      </c>
      <c r="G33" s="23">
        <v>745</v>
      </c>
      <c r="H33" s="26"/>
      <c r="I33" s="26">
        <v>46110</v>
      </c>
      <c r="J33" s="28"/>
      <c r="K33" s="28"/>
      <c r="L33" s="22"/>
      <c r="M33" s="28"/>
      <c r="N33" s="28"/>
      <c r="O33" s="28"/>
      <c r="P33" s="28"/>
      <c r="Q33" s="24"/>
      <c r="R33" s="28"/>
    </row>
    <row r="34" spans="1:18" ht="15.75" customHeight="1">
      <c r="A34" s="35">
        <v>119</v>
      </c>
      <c r="B34" s="35" t="s">
        <v>174</v>
      </c>
      <c r="C34" s="35" t="s">
        <v>46</v>
      </c>
      <c r="D34" s="35" t="s">
        <v>341</v>
      </c>
      <c r="E34" s="35" t="s">
        <v>57</v>
      </c>
      <c r="F34" s="35">
        <v>2023</v>
      </c>
      <c r="G34" s="35">
        <v>7</v>
      </c>
      <c r="H34" s="36"/>
      <c r="I34" s="36">
        <v>46108</v>
      </c>
      <c r="J34" s="28"/>
      <c r="K34" s="28"/>
      <c r="L34" s="22"/>
      <c r="M34" s="28"/>
      <c r="N34" s="28"/>
      <c r="O34" s="28"/>
      <c r="P34" s="28"/>
      <c r="Q34" s="24"/>
      <c r="R34" s="28"/>
    </row>
    <row r="35" spans="1:18" ht="15.75" customHeight="1">
      <c r="A35" s="49">
        <v>37</v>
      </c>
      <c r="B35" s="49" t="s">
        <v>234</v>
      </c>
      <c r="C35" s="49" t="s">
        <v>46</v>
      </c>
      <c r="D35" s="49" t="s">
        <v>343</v>
      </c>
      <c r="E35" s="49" t="s">
        <v>57</v>
      </c>
      <c r="F35" s="49">
        <v>2023</v>
      </c>
      <c r="G35" s="49">
        <v>8</v>
      </c>
      <c r="H35" s="50">
        <v>46106</v>
      </c>
      <c r="I35" s="50">
        <v>46383</v>
      </c>
      <c r="J35" s="28" t="s">
        <v>344</v>
      </c>
      <c r="K35" s="28" t="s">
        <v>106</v>
      </c>
      <c r="L35" s="22" t="s">
        <v>22</v>
      </c>
      <c r="M35" s="28">
        <v>140</v>
      </c>
      <c r="N35" s="28">
        <v>140</v>
      </c>
      <c r="O35" s="28">
        <v>0</v>
      </c>
      <c r="P35" s="28"/>
      <c r="Q35" s="28"/>
      <c r="R35" s="28"/>
    </row>
    <row r="36" spans="1:18" ht="15.75" customHeight="1">
      <c r="A36" s="70">
        <v>135</v>
      </c>
      <c r="B36" s="31" t="s">
        <v>234</v>
      </c>
      <c r="C36" s="31" t="s">
        <v>46</v>
      </c>
      <c r="D36" s="31" t="s">
        <v>347</v>
      </c>
      <c r="E36" s="31" t="s">
        <v>57</v>
      </c>
      <c r="F36" s="31">
        <v>2024</v>
      </c>
      <c r="G36" s="31">
        <v>4</v>
      </c>
      <c r="H36" s="34">
        <v>46079</v>
      </c>
      <c r="I36" s="34">
        <v>46383</v>
      </c>
      <c r="J36" s="28" t="s">
        <v>351</v>
      </c>
      <c r="K36" s="28" t="s">
        <v>352</v>
      </c>
      <c r="L36" s="22" t="s">
        <v>27</v>
      </c>
      <c r="M36" s="28">
        <v>79</v>
      </c>
      <c r="N36" s="28">
        <v>79</v>
      </c>
      <c r="O36" s="28">
        <v>0</v>
      </c>
      <c r="P36" s="28"/>
      <c r="Q36" s="28"/>
      <c r="R36" s="28"/>
    </row>
    <row r="37" spans="1:18" ht="15.75" customHeight="1">
      <c r="A37" s="49">
        <v>38</v>
      </c>
      <c r="B37" s="49" t="s">
        <v>245</v>
      </c>
      <c r="C37" s="49" t="s">
        <v>46</v>
      </c>
      <c r="D37" s="49" t="s">
        <v>356</v>
      </c>
      <c r="E37" s="49" t="s">
        <v>65</v>
      </c>
      <c r="F37" s="49">
        <v>2019</v>
      </c>
      <c r="G37" s="49">
        <v>150</v>
      </c>
      <c r="H37" s="50">
        <v>46382</v>
      </c>
      <c r="I37" s="50">
        <v>46109</v>
      </c>
      <c r="J37" s="28"/>
      <c r="K37" s="28"/>
      <c r="L37" s="22"/>
      <c r="M37" s="28">
        <v>2390</v>
      </c>
      <c r="N37" s="28">
        <v>2649.44</v>
      </c>
      <c r="O37" s="28">
        <f t="shared" ref="O37:O38" si="1">N37-M37</f>
        <v>259.44000000000005</v>
      </c>
      <c r="P37" s="28" t="s">
        <v>362</v>
      </c>
      <c r="Q37" s="24" t="s">
        <v>363</v>
      </c>
      <c r="R37" s="28"/>
    </row>
    <row r="38" spans="1:18" ht="15.75" customHeight="1">
      <c r="A38" s="49">
        <v>39</v>
      </c>
      <c r="B38" s="49" t="s">
        <v>245</v>
      </c>
      <c r="C38" s="49" t="s">
        <v>46</v>
      </c>
      <c r="D38" s="49" t="s">
        <v>364</v>
      </c>
      <c r="E38" s="49" t="s">
        <v>366</v>
      </c>
      <c r="F38" s="49">
        <v>2020</v>
      </c>
      <c r="G38" s="49">
        <v>22</v>
      </c>
      <c r="H38" s="50"/>
      <c r="I38" s="50">
        <v>46109</v>
      </c>
      <c r="J38" s="28" t="s">
        <v>121</v>
      </c>
      <c r="K38" s="28" t="s">
        <v>106</v>
      </c>
      <c r="L38" s="22" t="s">
        <v>22</v>
      </c>
      <c r="M38" s="28">
        <v>1179.27</v>
      </c>
      <c r="N38" s="28">
        <v>1187.1400000000001</v>
      </c>
      <c r="O38" s="28">
        <f t="shared" si="1"/>
        <v>7.8700000000001182</v>
      </c>
      <c r="P38" s="28" t="s">
        <v>370</v>
      </c>
      <c r="Q38" s="28"/>
      <c r="R38" s="28" t="s">
        <v>106</v>
      </c>
    </row>
    <row r="39" spans="1:18" ht="15.75" customHeight="1">
      <c r="A39" s="49">
        <v>40</v>
      </c>
      <c r="B39" s="49" t="s">
        <v>245</v>
      </c>
      <c r="C39" s="49" t="s">
        <v>46</v>
      </c>
      <c r="D39" s="49" t="s">
        <v>371</v>
      </c>
      <c r="E39" s="49" t="s">
        <v>43</v>
      </c>
      <c r="F39" s="49">
        <v>2022</v>
      </c>
      <c r="G39" s="49">
        <v>150</v>
      </c>
      <c r="H39" s="50">
        <v>46230</v>
      </c>
      <c r="I39" s="50">
        <v>46230</v>
      </c>
      <c r="J39" s="28"/>
      <c r="K39" s="28"/>
      <c r="L39" s="22"/>
      <c r="M39" s="28">
        <v>987.87</v>
      </c>
      <c r="N39" s="28">
        <v>987.83</v>
      </c>
      <c r="O39" s="28"/>
      <c r="P39" s="28"/>
      <c r="Q39" s="24"/>
      <c r="R39" s="28"/>
    </row>
    <row r="40" spans="1:18" ht="15.75" customHeight="1">
      <c r="A40" s="49">
        <v>41</v>
      </c>
      <c r="B40" s="49" t="s">
        <v>245</v>
      </c>
      <c r="C40" s="49" t="s">
        <v>46</v>
      </c>
      <c r="D40" s="49" t="s">
        <v>374</v>
      </c>
      <c r="E40" s="49" t="s">
        <v>65</v>
      </c>
      <c r="F40" s="49">
        <v>2019</v>
      </c>
      <c r="G40" s="49">
        <v>18</v>
      </c>
      <c r="H40" s="50"/>
      <c r="I40" s="50">
        <v>46383</v>
      </c>
      <c r="J40" s="28" t="s">
        <v>121</v>
      </c>
      <c r="K40" s="28" t="s">
        <v>106</v>
      </c>
      <c r="L40" s="22" t="s">
        <v>22</v>
      </c>
      <c r="M40" s="28">
        <v>447.99</v>
      </c>
      <c r="N40" s="28">
        <v>779.49</v>
      </c>
      <c r="O40" s="28">
        <f>N40-M40</f>
        <v>331.5</v>
      </c>
      <c r="P40" s="28" t="s">
        <v>377</v>
      </c>
      <c r="Q40" s="28"/>
      <c r="R40" s="28" t="s">
        <v>106</v>
      </c>
    </row>
    <row r="41" spans="1:18" ht="15.75" customHeight="1">
      <c r="A41" s="74">
        <v>42</v>
      </c>
      <c r="B41" s="74" t="s">
        <v>245</v>
      </c>
      <c r="C41" s="74" t="s">
        <v>46</v>
      </c>
      <c r="D41" s="74" t="s">
        <v>379</v>
      </c>
      <c r="E41" s="74" t="s">
        <v>65</v>
      </c>
      <c r="F41" s="74">
        <v>2020</v>
      </c>
      <c r="G41" s="74">
        <v>10</v>
      </c>
      <c r="H41" s="75"/>
      <c r="I41" s="75">
        <v>46383</v>
      </c>
      <c r="J41" s="28"/>
      <c r="K41" s="28"/>
      <c r="L41" s="22"/>
      <c r="M41" s="28">
        <v>493.11</v>
      </c>
      <c r="N41" s="28">
        <v>493.11</v>
      </c>
      <c r="O41" s="28"/>
      <c r="P41" s="28"/>
      <c r="Q41" s="24"/>
      <c r="R41" s="28"/>
    </row>
    <row r="42" spans="1:18" ht="15.75" customHeight="1">
      <c r="A42" s="74">
        <v>43</v>
      </c>
      <c r="B42" s="74" t="s">
        <v>245</v>
      </c>
      <c r="C42" s="74" t="s">
        <v>46</v>
      </c>
      <c r="D42" s="74" t="s">
        <v>383</v>
      </c>
      <c r="E42" s="74" t="s">
        <v>65</v>
      </c>
      <c r="F42" s="74" t="s">
        <v>65</v>
      </c>
      <c r="G42" s="74">
        <v>10</v>
      </c>
      <c r="H42" s="75"/>
      <c r="I42" s="75">
        <v>46383</v>
      </c>
      <c r="J42" s="28"/>
      <c r="K42" s="28"/>
      <c r="L42" s="22"/>
      <c r="M42" s="44">
        <v>186.21</v>
      </c>
      <c r="N42" s="44">
        <v>250.18</v>
      </c>
      <c r="O42" s="28"/>
      <c r="P42" s="28"/>
      <c r="Q42" s="24"/>
      <c r="R42" s="28"/>
    </row>
    <row r="43" spans="1:18" ht="15.75" customHeight="1">
      <c r="A43" s="74">
        <v>44</v>
      </c>
      <c r="B43" s="74" t="s">
        <v>245</v>
      </c>
      <c r="C43" s="74" t="s">
        <v>46</v>
      </c>
      <c r="D43" s="74" t="s">
        <v>389</v>
      </c>
      <c r="E43" s="74" t="s">
        <v>57</v>
      </c>
      <c r="F43" s="74">
        <v>2023</v>
      </c>
      <c r="G43" s="74">
        <v>102</v>
      </c>
      <c r="H43" s="75">
        <v>46109</v>
      </c>
      <c r="I43" s="75">
        <v>46109</v>
      </c>
      <c r="J43" s="28" t="s">
        <v>86</v>
      </c>
      <c r="K43" s="28" t="s">
        <v>72</v>
      </c>
      <c r="L43" s="22" t="s">
        <v>87</v>
      </c>
      <c r="M43" s="78">
        <v>1423.96</v>
      </c>
      <c r="N43" s="78">
        <v>1423.96</v>
      </c>
      <c r="O43" s="28" t="s">
        <v>86</v>
      </c>
      <c r="P43" s="28" t="s">
        <v>72</v>
      </c>
      <c r="Q43" s="28"/>
      <c r="R43" s="28"/>
    </row>
    <row r="44" spans="1:18" ht="15.75" customHeight="1">
      <c r="A44" s="31">
        <v>79</v>
      </c>
      <c r="B44" s="31" t="s">
        <v>245</v>
      </c>
      <c r="C44" s="31" t="s">
        <v>46</v>
      </c>
      <c r="D44" s="31" t="s">
        <v>391</v>
      </c>
      <c r="E44" s="31" t="s">
        <v>43</v>
      </c>
      <c r="F44" s="31">
        <v>2022</v>
      </c>
      <c r="G44" s="31">
        <v>2</v>
      </c>
      <c r="H44" s="34"/>
      <c r="I44" s="34">
        <v>46322</v>
      </c>
      <c r="J44" s="28"/>
      <c r="K44" s="28"/>
      <c r="L44" s="22"/>
      <c r="M44" s="28"/>
      <c r="N44" s="28"/>
      <c r="O44" s="28"/>
      <c r="P44" s="28"/>
      <c r="Q44" s="24"/>
      <c r="R44" s="28"/>
    </row>
    <row r="45" spans="1:18" ht="15.75" customHeight="1">
      <c r="A45" s="23">
        <v>3</v>
      </c>
      <c r="B45" s="23" t="s">
        <v>294</v>
      </c>
      <c r="C45" s="23" t="s">
        <v>35</v>
      </c>
      <c r="D45" s="23" t="s">
        <v>395</v>
      </c>
      <c r="E45" s="23" t="s">
        <v>57</v>
      </c>
      <c r="F45" s="23">
        <v>2023</v>
      </c>
      <c r="G45" s="23">
        <v>53</v>
      </c>
      <c r="H45" s="26"/>
      <c r="I45" s="26">
        <v>46262</v>
      </c>
      <c r="J45" s="28"/>
      <c r="K45" s="28"/>
      <c r="L45" s="22"/>
      <c r="M45" s="28"/>
      <c r="N45" s="28"/>
      <c r="O45" s="28"/>
      <c r="P45" s="28"/>
      <c r="Q45" s="24"/>
      <c r="R45" s="28"/>
    </row>
    <row r="46" spans="1:18" ht="15.75" customHeight="1">
      <c r="A46" s="23">
        <v>4</v>
      </c>
      <c r="B46" s="23" t="s">
        <v>294</v>
      </c>
      <c r="C46" s="23" t="s">
        <v>35</v>
      </c>
      <c r="D46" s="23" t="s">
        <v>401</v>
      </c>
      <c r="E46" s="23" t="s">
        <v>65</v>
      </c>
      <c r="F46" s="23">
        <v>2019</v>
      </c>
      <c r="G46" s="23">
        <v>81</v>
      </c>
      <c r="H46" s="26"/>
      <c r="I46" s="26">
        <v>46384</v>
      </c>
      <c r="J46" s="28"/>
      <c r="K46" s="28"/>
      <c r="L46" s="22"/>
      <c r="M46" s="28"/>
      <c r="N46" s="28"/>
      <c r="O46" s="28"/>
      <c r="P46" s="28"/>
      <c r="Q46" s="24"/>
      <c r="R46" s="28"/>
    </row>
    <row r="47" spans="1:18" ht="15.75" customHeight="1">
      <c r="A47" s="23">
        <v>5</v>
      </c>
      <c r="B47" s="23" t="s">
        <v>294</v>
      </c>
      <c r="C47" s="23" t="s">
        <v>35</v>
      </c>
      <c r="D47" s="23" t="s">
        <v>405</v>
      </c>
      <c r="E47" s="23" t="s">
        <v>57</v>
      </c>
      <c r="F47" s="23">
        <v>2024</v>
      </c>
      <c r="G47" s="23">
        <v>29</v>
      </c>
      <c r="H47" s="26"/>
      <c r="I47" s="26">
        <v>46323</v>
      </c>
      <c r="J47" s="28"/>
      <c r="K47" s="28"/>
      <c r="L47" s="22"/>
      <c r="M47" s="28"/>
      <c r="N47" s="28"/>
      <c r="O47" s="28"/>
      <c r="P47" s="28"/>
      <c r="Q47" s="24"/>
      <c r="R47" s="28"/>
    </row>
    <row r="48" spans="1:18" ht="15.75" customHeight="1">
      <c r="A48" s="74">
        <v>45</v>
      </c>
      <c r="B48" s="74" t="s">
        <v>294</v>
      </c>
      <c r="C48" s="74" t="s">
        <v>46</v>
      </c>
      <c r="D48" s="74" t="s">
        <v>409</v>
      </c>
      <c r="E48" s="74" t="s">
        <v>57</v>
      </c>
      <c r="F48" s="74">
        <v>2023</v>
      </c>
      <c r="G48" s="74">
        <v>96</v>
      </c>
      <c r="H48" s="75"/>
      <c r="I48" s="75">
        <v>46383</v>
      </c>
      <c r="J48" s="28"/>
      <c r="K48" s="28"/>
      <c r="L48" s="22"/>
      <c r="M48" s="28"/>
      <c r="N48" s="28"/>
      <c r="O48" s="28"/>
      <c r="P48" s="28"/>
      <c r="Q48" s="24"/>
      <c r="R48" s="28"/>
    </row>
    <row r="49" spans="1:18" ht="15.75" customHeight="1">
      <c r="A49" s="23">
        <v>6</v>
      </c>
      <c r="B49" s="23" t="s">
        <v>312</v>
      </c>
      <c r="C49" s="23" t="s">
        <v>35</v>
      </c>
      <c r="D49" s="23" t="s">
        <v>415</v>
      </c>
      <c r="E49" s="23" t="s">
        <v>366</v>
      </c>
      <c r="F49" s="23">
        <v>2020</v>
      </c>
      <c r="G49" s="23">
        <v>3</v>
      </c>
      <c r="H49" s="23"/>
      <c r="I49" s="23" t="s">
        <v>107</v>
      </c>
      <c r="J49" s="28"/>
      <c r="K49" s="28"/>
      <c r="L49" s="22"/>
      <c r="M49" s="28"/>
      <c r="N49" s="28"/>
      <c r="O49" s="28"/>
      <c r="P49" s="28"/>
      <c r="Q49" s="24"/>
      <c r="R49" s="28"/>
    </row>
    <row r="50" spans="1:18" ht="15.75" customHeight="1">
      <c r="A50" s="74">
        <v>46</v>
      </c>
      <c r="B50" s="74" t="s">
        <v>312</v>
      </c>
      <c r="C50" s="74" t="s">
        <v>46</v>
      </c>
      <c r="D50" s="74" t="s">
        <v>421</v>
      </c>
      <c r="E50" s="74" t="s">
        <v>57</v>
      </c>
      <c r="F50" s="74">
        <v>2024</v>
      </c>
      <c r="G50" s="74">
        <v>7</v>
      </c>
      <c r="H50" s="75"/>
      <c r="I50" s="75">
        <v>46265</v>
      </c>
      <c r="J50" s="28"/>
      <c r="K50" s="28"/>
      <c r="L50" s="22"/>
      <c r="M50" s="28"/>
      <c r="N50" s="28"/>
      <c r="O50" s="28"/>
      <c r="P50" s="28"/>
      <c r="Q50" s="24"/>
      <c r="R50" s="28"/>
    </row>
    <row r="51" spans="1:18" ht="15.75" customHeight="1">
      <c r="A51" s="74">
        <v>47</v>
      </c>
      <c r="B51" s="74" t="s">
        <v>312</v>
      </c>
      <c r="C51" s="74" t="s">
        <v>46</v>
      </c>
      <c r="D51" s="74" t="s">
        <v>422</v>
      </c>
      <c r="E51" s="74" t="s">
        <v>57</v>
      </c>
      <c r="F51" s="74">
        <v>2023</v>
      </c>
      <c r="G51" s="74">
        <v>6</v>
      </c>
      <c r="H51" s="75">
        <v>46109</v>
      </c>
      <c r="I51" s="75">
        <v>46109</v>
      </c>
      <c r="J51" s="28"/>
      <c r="K51" s="28"/>
      <c r="L51" s="22"/>
      <c r="M51" s="28">
        <v>394.64</v>
      </c>
      <c r="N51" s="28">
        <v>467.24</v>
      </c>
      <c r="O51" s="28">
        <f>N51-M51</f>
        <v>72.600000000000023</v>
      </c>
      <c r="P51" s="28" t="s">
        <v>428</v>
      </c>
      <c r="Q51" s="24" t="s">
        <v>91</v>
      </c>
      <c r="R51" s="28" t="s">
        <v>430</v>
      </c>
    </row>
    <row r="52" spans="1:18" ht="15.75" customHeight="1">
      <c r="A52" s="74">
        <v>48</v>
      </c>
      <c r="B52" s="74" t="s">
        <v>312</v>
      </c>
      <c r="C52" s="74" t="s">
        <v>46</v>
      </c>
      <c r="D52" s="74" t="s">
        <v>431</v>
      </c>
      <c r="E52" s="74" t="s">
        <v>57</v>
      </c>
      <c r="F52" s="74">
        <v>2024</v>
      </c>
      <c r="G52" s="74">
        <v>140</v>
      </c>
      <c r="H52" s="75"/>
      <c r="I52" s="75">
        <v>46384</v>
      </c>
      <c r="J52" s="28"/>
      <c r="K52" s="28"/>
      <c r="L52" s="22"/>
      <c r="M52" s="28"/>
      <c r="N52" s="28"/>
      <c r="O52" s="28"/>
      <c r="P52" s="28"/>
      <c r="Q52" s="24"/>
      <c r="R52" s="28"/>
    </row>
    <row r="53" spans="1:18" ht="15.75" customHeight="1">
      <c r="A53" s="74">
        <v>49</v>
      </c>
      <c r="B53" s="74" t="s">
        <v>312</v>
      </c>
      <c r="C53" s="74" t="s">
        <v>46</v>
      </c>
      <c r="D53" s="74" t="s">
        <v>434</v>
      </c>
      <c r="E53" s="74" t="s">
        <v>43</v>
      </c>
      <c r="F53" s="74">
        <v>2022</v>
      </c>
      <c r="G53" s="74">
        <v>65</v>
      </c>
      <c r="H53" s="83">
        <v>46261</v>
      </c>
      <c r="I53" s="83">
        <v>46169</v>
      </c>
      <c r="J53" s="28" t="s">
        <v>439</v>
      </c>
      <c r="K53" s="28" t="s">
        <v>72</v>
      </c>
      <c r="L53" s="22"/>
      <c r="M53" s="28">
        <v>942</v>
      </c>
      <c r="N53" s="28">
        <v>2141</v>
      </c>
      <c r="O53" s="28">
        <v>1199</v>
      </c>
      <c r="P53" s="41" t="s">
        <v>444</v>
      </c>
      <c r="Q53" s="24" t="s">
        <v>90</v>
      </c>
      <c r="R53" s="28" t="s">
        <v>446</v>
      </c>
    </row>
    <row r="54" spans="1:18" ht="15.75" customHeight="1">
      <c r="A54" s="85">
        <v>50</v>
      </c>
      <c r="B54" s="85" t="s">
        <v>318</v>
      </c>
      <c r="C54" s="85" t="s">
        <v>46</v>
      </c>
      <c r="D54" s="85" t="s">
        <v>449</v>
      </c>
      <c r="E54" s="85" t="s">
        <v>366</v>
      </c>
      <c r="F54" s="85">
        <v>2021</v>
      </c>
      <c r="G54" s="85">
        <v>21</v>
      </c>
      <c r="H54" s="86"/>
      <c r="I54" s="86">
        <v>46080</v>
      </c>
      <c r="J54" s="28"/>
      <c r="K54" s="28"/>
      <c r="L54" s="22"/>
      <c r="M54" s="28"/>
      <c r="N54" s="28"/>
      <c r="O54" s="28"/>
      <c r="P54" s="28"/>
      <c r="Q54" s="24"/>
      <c r="R54" s="28"/>
    </row>
    <row r="55" spans="1:18" ht="15.75" customHeight="1">
      <c r="A55" s="17">
        <v>76</v>
      </c>
      <c r="B55" s="17" t="s">
        <v>318</v>
      </c>
      <c r="C55" s="17" t="s">
        <v>46</v>
      </c>
      <c r="D55" s="17" t="s">
        <v>455</v>
      </c>
      <c r="E55" s="17" t="s">
        <v>43</v>
      </c>
      <c r="F55" s="17">
        <v>2023</v>
      </c>
      <c r="G55" s="17">
        <v>3</v>
      </c>
      <c r="H55" s="17" t="s">
        <v>457</v>
      </c>
      <c r="I55" s="19">
        <v>46049</v>
      </c>
      <c r="J55" s="28" t="s">
        <v>458</v>
      </c>
      <c r="K55" s="28" t="s">
        <v>459</v>
      </c>
      <c r="L55" s="22"/>
      <c r="M55" s="28">
        <v>34.28</v>
      </c>
      <c r="N55" s="28">
        <v>34.28</v>
      </c>
      <c r="O55" s="28" t="s">
        <v>72</v>
      </c>
      <c r="P55" s="28" t="s">
        <v>72</v>
      </c>
      <c r="Q55" s="24" t="s">
        <v>265</v>
      </c>
      <c r="R55" s="28"/>
    </row>
    <row r="56" spans="1:18" ht="15.75" customHeight="1">
      <c r="A56" s="23">
        <v>91</v>
      </c>
      <c r="B56" s="49" t="s">
        <v>318</v>
      </c>
      <c r="C56" s="49" t="s">
        <v>46</v>
      </c>
      <c r="D56" s="49" t="s">
        <v>463</v>
      </c>
      <c r="E56" s="49" t="s">
        <v>43</v>
      </c>
      <c r="F56" s="49">
        <v>2023</v>
      </c>
      <c r="G56" s="49">
        <v>6</v>
      </c>
      <c r="H56" s="50"/>
      <c r="I56" s="50">
        <v>46384</v>
      </c>
      <c r="J56" s="28"/>
      <c r="K56" s="28"/>
      <c r="L56" s="22"/>
      <c r="M56" s="28"/>
      <c r="N56" s="28"/>
      <c r="O56" s="28"/>
      <c r="P56" s="28"/>
      <c r="Q56" s="24"/>
      <c r="R56" s="28"/>
    </row>
    <row r="57" spans="1:18" ht="15.75" customHeight="1">
      <c r="A57" s="23">
        <v>116</v>
      </c>
      <c r="B57" s="23" t="s">
        <v>318</v>
      </c>
      <c r="C57" s="23" t="s">
        <v>46</v>
      </c>
      <c r="D57" s="23" t="s">
        <v>466</v>
      </c>
      <c r="E57" s="23" t="s">
        <v>57</v>
      </c>
      <c r="F57" s="23">
        <v>2023</v>
      </c>
      <c r="G57" s="23">
        <v>6</v>
      </c>
      <c r="H57" s="26"/>
      <c r="I57" s="26">
        <v>46109</v>
      </c>
      <c r="J57" s="28"/>
      <c r="K57" s="28"/>
      <c r="L57" s="22"/>
      <c r="M57" s="28"/>
      <c r="N57" s="28"/>
      <c r="O57" s="28"/>
      <c r="P57" s="28"/>
      <c r="Q57" s="24"/>
      <c r="R57" s="28"/>
    </row>
    <row r="58" spans="1:18" ht="15.75" customHeight="1">
      <c r="A58" s="31">
        <v>126</v>
      </c>
      <c r="B58" s="23" t="s">
        <v>318</v>
      </c>
      <c r="C58" s="23" t="s">
        <v>46</v>
      </c>
      <c r="D58" s="23" t="s">
        <v>471</v>
      </c>
      <c r="E58" s="23" t="s">
        <v>57</v>
      </c>
      <c r="F58" s="23">
        <v>2024</v>
      </c>
      <c r="G58" s="23">
        <v>2</v>
      </c>
      <c r="H58" s="26"/>
      <c r="I58" s="26">
        <v>46049</v>
      </c>
      <c r="J58" s="28"/>
      <c r="K58" s="28"/>
      <c r="L58" s="22"/>
      <c r="M58" s="28"/>
      <c r="N58" s="28"/>
      <c r="O58" s="28"/>
      <c r="P58" s="28"/>
      <c r="Q58" s="24"/>
      <c r="R58" s="28"/>
    </row>
    <row r="59" spans="1:18" ht="15.75" customHeight="1">
      <c r="A59" s="31">
        <v>127</v>
      </c>
      <c r="B59" s="23" t="s">
        <v>318</v>
      </c>
      <c r="C59" s="23" t="s">
        <v>46</v>
      </c>
      <c r="D59" s="23" t="s">
        <v>475</v>
      </c>
      <c r="E59" s="23" t="s">
        <v>57</v>
      </c>
      <c r="F59" s="23">
        <v>2024</v>
      </c>
      <c r="G59" s="23">
        <v>6</v>
      </c>
      <c r="H59" s="26"/>
      <c r="I59" s="26">
        <v>46322</v>
      </c>
      <c r="J59" s="28"/>
      <c r="K59" s="28"/>
      <c r="L59" s="22"/>
      <c r="M59" s="28"/>
      <c r="N59" s="28"/>
      <c r="O59" s="28"/>
      <c r="P59" s="28"/>
      <c r="Q59" s="24"/>
      <c r="R59" s="28"/>
    </row>
    <row r="60" spans="1:18" ht="15.75" customHeight="1">
      <c r="A60" s="23">
        <v>134</v>
      </c>
      <c r="B60" s="31" t="s">
        <v>318</v>
      </c>
      <c r="C60" s="31" t="s">
        <v>46</v>
      </c>
      <c r="D60" s="31" t="s">
        <v>477</v>
      </c>
      <c r="E60" s="31" t="s">
        <v>57</v>
      </c>
      <c r="F60" s="31">
        <v>2024</v>
      </c>
      <c r="G60" s="31">
        <v>2</v>
      </c>
      <c r="H60" s="31"/>
      <c r="I60" s="31" t="s">
        <v>107</v>
      </c>
      <c r="J60" s="28"/>
      <c r="K60" s="28"/>
      <c r="L60" s="22"/>
      <c r="M60" s="28"/>
      <c r="N60" s="28"/>
      <c r="O60" s="28"/>
      <c r="P60" s="28"/>
      <c r="Q60" s="24"/>
      <c r="R60" s="28"/>
    </row>
    <row r="61" spans="1:18" ht="15.75" customHeight="1">
      <c r="A61" s="23">
        <v>136</v>
      </c>
      <c r="B61" s="31" t="s">
        <v>318</v>
      </c>
      <c r="C61" s="31" t="s">
        <v>46</v>
      </c>
      <c r="D61" s="31" t="s">
        <v>482</v>
      </c>
      <c r="E61" s="31" t="s">
        <v>57</v>
      </c>
      <c r="F61" s="31">
        <v>2024</v>
      </c>
      <c r="G61" s="31">
        <v>13</v>
      </c>
      <c r="H61" s="34">
        <v>46384</v>
      </c>
      <c r="I61" s="34">
        <v>46384</v>
      </c>
      <c r="J61" s="28" t="s">
        <v>107</v>
      </c>
      <c r="K61" s="28" t="s">
        <v>107</v>
      </c>
      <c r="L61" s="22"/>
      <c r="M61" s="28">
        <v>173.58</v>
      </c>
      <c r="N61" s="28">
        <v>173.58</v>
      </c>
      <c r="O61" s="28" t="s">
        <v>107</v>
      </c>
      <c r="P61" s="28" t="s">
        <v>107</v>
      </c>
      <c r="Q61" s="24" t="s">
        <v>265</v>
      </c>
      <c r="R61" s="28" t="s">
        <v>279</v>
      </c>
    </row>
    <row r="62" spans="1:18" ht="15.75" customHeight="1">
      <c r="A62" s="23">
        <v>7</v>
      </c>
      <c r="B62" s="23" t="s">
        <v>333</v>
      </c>
      <c r="C62" s="23" t="s">
        <v>35</v>
      </c>
      <c r="D62" s="23" t="s">
        <v>487</v>
      </c>
      <c r="E62" s="23" t="s">
        <v>57</v>
      </c>
      <c r="F62" s="23">
        <v>2024</v>
      </c>
      <c r="G62" s="23">
        <v>51</v>
      </c>
      <c r="H62" s="26"/>
      <c r="I62" s="26">
        <v>46384</v>
      </c>
      <c r="J62" s="28"/>
      <c r="K62" s="28"/>
      <c r="L62" s="22"/>
      <c r="M62" s="28"/>
      <c r="N62" s="28"/>
      <c r="O62" s="28"/>
      <c r="P62" s="28"/>
      <c r="Q62" s="24"/>
      <c r="R62" s="28"/>
    </row>
    <row r="63" spans="1:18" ht="15.75" customHeight="1">
      <c r="A63" s="23">
        <v>8</v>
      </c>
      <c r="B63" s="23" t="s">
        <v>333</v>
      </c>
      <c r="C63" s="23" t="s">
        <v>35</v>
      </c>
      <c r="D63" s="23" t="s">
        <v>491</v>
      </c>
      <c r="E63" s="23" t="s">
        <v>43</v>
      </c>
      <c r="F63" s="23">
        <v>2022</v>
      </c>
      <c r="G63" s="23">
        <v>116</v>
      </c>
      <c r="H63" s="26"/>
      <c r="I63" s="26">
        <v>46110</v>
      </c>
      <c r="J63" s="28"/>
      <c r="K63" s="28"/>
      <c r="L63" s="22"/>
      <c r="M63" s="28"/>
      <c r="N63" s="28"/>
      <c r="O63" s="28"/>
      <c r="P63" s="28"/>
      <c r="Q63" s="24"/>
      <c r="R63" s="28"/>
    </row>
    <row r="64" spans="1:18" ht="15.75" customHeight="1">
      <c r="A64" s="35">
        <v>9</v>
      </c>
      <c r="B64" s="35" t="s">
        <v>333</v>
      </c>
      <c r="C64" s="35" t="s">
        <v>35</v>
      </c>
      <c r="D64" s="35" t="s">
        <v>492</v>
      </c>
      <c r="E64" s="35" t="s">
        <v>65</v>
      </c>
      <c r="F64" s="35">
        <v>2020</v>
      </c>
      <c r="G64" s="35">
        <v>25</v>
      </c>
      <c r="H64" s="36"/>
      <c r="I64" s="36">
        <v>46352</v>
      </c>
      <c r="J64" s="28"/>
      <c r="K64" s="28"/>
      <c r="L64" s="22"/>
      <c r="M64" s="28"/>
      <c r="N64" s="28"/>
      <c r="O64" s="28"/>
      <c r="P64" s="28"/>
      <c r="Q64" s="24"/>
      <c r="R64" s="28"/>
    </row>
    <row r="65" spans="1:18" ht="15.75" customHeight="1">
      <c r="A65" s="35">
        <v>10</v>
      </c>
      <c r="B65" s="35" t="s">
        <v>333</v>
      </c>
      <c r="C65" s="35" t="s">
        <v>35</v>
      </c>
      <c r="D65" s="35" t="s">
        <v>493</v>
      </c>
      <c r="E65" s="35" t="s">
        <v>494</v>
      </c>
      <c r="F65" s="35">
        <v>2022</v>
      </c>
      <c r="G65" s="35">
        <v>34</v>
      </c>
      <c r="H65" s="36"/>
      <c r="I65" s="36">
        <v>46352</v>
      </c>
      <c r="J65" s="28"/>
      <c r="K65" s="28"/>
      <c r="L65" s="22"/>
      <c r="M65" s="28"/>
      <c r="N65" s="28"/>
      <c r="O65" s="28"/>
      <c r="P65" s="28"/>
      <c r="Q65" s="24"/>
      <c r="R65" s="28"/>
    </row>
    <row r="66" spans="1:18" ht="15.75" customHeight="1">
      <c r="A66" s="31">
        <v>20</v>
      </c>
      <c r="B66" s="31" t="s">
        <v>333</v>
      </c>
      <c r="C66" s="31" t="s">
        <v>35</v>
      </c>
      <c r="D66" s="31" t="s">
        <v>497</v>
      </c>
      <c r="E66" s="31" t="s">
        <v>57</v>
      </c>
      <c r="F66" s="31">
        <v>2024</v>
      </c>
      <c r="G66" s="31">
        <v>56</v>
      </c>
      <c r="H66" s="34"/>
      <c r="I66" s="34">
        <v>46111</v>
      </c>
      <c r="J66" s="28"/>
      <c r="K66" s="28" t="s">
        <v>498</v>
      </c>
      <c r="L66" s="22"/>
      <c r="M66" s="28"/>
      <c r="N66" s="28"/>
      <c r="O66" s="28"/>
      <c r="P66" s="28"/>
      <c r="Q66" s="24"/>
      <c r="R66" s="28"/>
    </row>
    <row r="67" spans="1:18" ht="15.75" customHeight="1">
      <c r="A67" s="23">
        <v>51</v>
      </c>
      <c r="B67" s="23" t="s">
        <v>333</v>
      </c>
      <c r="C67" s="23" t="s">
        <v>46</v>
      </c>
      <c r="D67" s="23" t="s">
        <v>499</v>
      </c>
      <c r="E67" s="23" t="s">
        <v>57</v>
      </c>
      <c r="F67" s="23">
        <v>2024</v>
      </c>
      <c r="G67" s="23">
        <v>130</v>
      </c>
      <c r="H67" s="73"/>
      <c r="I67" s="73">
        <v>46170</v>
      </c>
      <c r="J67" s="28"/>
      <c r="K67" s="28"/>
      <c r="L67" s="22"/>
      <c r="M67" s="28"/>
      <c r="N67" s="28"/>
      <c r="O67" s="28"/>
      <c r="P67" s="28"/>
      <c r="Q67" s="24"/>
      <c r="R67" s="28"/>
    </row>
    <row r="68" spans="1:18" ht="15.75" customHeight="1">
      <c r="A68" s="23">
        <v>52</v>
      </c>
      <c r="B68" s="23" t="s">
        <v>333</v>
      </c>
      <c r="C68" s="23" t="s">
        <v>46</v>
      </c>
      <c r="D68" s="23" t="s">
        <v>503</v>
      </c>
      <c r="E68" s="23" t="s">
        <v>57</v>
      </c>
      <c r="F68" s="23">
        <v>2024</v>
      </c>
      <c r="G68" s="23">
        <v>330</v>
      </c>
      <c r="H68" s="23"/>
      <c r="I68" s="23" t="s">
        <v>504</v>
      </c>
      <c r="J68" s="28"/>
      <c r="K68" s="28"/>
      <c r="L68" s="22"/>
      <c r="M68" s="28"/>
      <c r="N68" s="28"/>
      <c r="O68" s="28"/>
      <c r="P68" s="28"/>
      <c r="Q68" s="24"/>
      <c r="R68" s="28"/>
    </row>
    <row r="69" spans="1:18" ht="15.75" customHeight="1">
      <c r="A69" s="23">
        <v>53</v>
      </c>
      <c r="B69" s="23" t="s">
        <v>333</v>
      </c>
      <c r="C69" s="23" t="s">
        <v>46</v>
      </c>
      <c r="D69" s="23" t="s">
        <v>506</v>
      </c>
      <c r="E69" s="23" t="s">
        <v>57</v>
      </c>
      <c r="F69" s="23">
        <v>2024</v>
      </c>
      <c r="G69" s="23">
        <v>178</v>
      </c>
      <c r="H69" s="26"/>
      <c r="I69" s="26">
        <v>46323</v>
      </c>
      <c r="J69" s="28"/>
      <c r="K69" s="28"/>
      <c r="L69" s="22"/>
      <c r="M69" s="28"/>
      <c r="N69" s="28"/>
      <c r="O69" s="28"/>
      <c r="P69" s="28"/>
      <c r="Q69" s="24"/>
      <c r="R69" s="28"/>
    </row>
    <row r="70" spans="1:18" ht="15.75" customHeight="1">
      <c r="A70" s="35">
        <v>54</v>
      </c>
      <c r="B70" s="35" t="s">
        <v>333</v>
      </c>
      <c r="C70" s="35" t="s">
        <v>46</v>
      </c>
      <c r="D70" s="35" t="s">
        <v>508</v>
      </c>
      <c r="E70" s="35" t="s">
        <v>43</v>
      </c>
      <c r="F70" s="35">
        <v>2022</v>
      </c>
      <c r="G70" s="35">
        <v>14</v>
      </c>
      <c r="H70" s="36"/>
      <c r="I70" s="36">
        <v>46382</v>
      </c>
      <c r="J70" s="28"/>
      <c r="K70" s="28"/>
      <c r="L70" s="22"/>
      <c r="M70" s="28"/>
      <c r="N70" s="28"/>
      <c r="O70" s="28"/>
      <c r="P70" s="28"/>
      <c r="Q70" s="24"/>
      <c r="R70" s="28"/>
    </row>
    <row r="71" spans="1:18" ht="15.75" customHeight="1">
      <c r="A71" s="17">
        <v>81</v>
      </c>
      <c r="B71" s="17" t="s">
        <v>333</v>
      </c>
      <c r="C71" s="17" t="s">
        <v>46</v>
      </c>
      <c r="D71" s="17" t="s">
        <v>511</v>
      </c>
      <c r="E71" s="17" t="s">
        <v>43</v>
      </c>
      <c r="F71" s="17">
        <v>2023</v>
      </c>
      <c r="G71" s="17">
        <v>28</v>
      </c>
      <c r="H71" s="19"/>
      <c r="I71" s="19">
        <v>46382</v>
      </c>
      <c r="J71" s="28"/>
      <c r="K71" s="28"/>
      <c r="L71" s="22"/>
      <c r="M71" s="28"/>
      <c r="N71" s="28"/>
      <c r="O71" s="28"/>
      <c r="P71" s="28"/>
      <c r="Q71" s="24"/>
      <c r="R71" s="28"/>
    </row>
    <row r="72" spans="1:18" ht="15.75" customHeight="1">
      <c r="A72" s="31">
        <v>83</v>
      </c>
      <c r="B72" s="31" t="s">
        <v>333</v>
      </c>
      <c r="C72" s="31" t="s">
        <v>46</v>
      </c>
      <c r="D72" s="31" t="s">
        <v>514</v>
      </c>
      <c r="E72" s="31" t="s">
        <v>43</v>
      </c>
      <c r="F72" s="31">
        <v>2023</v>
      </c>
      <c r="G72" s="31">
        <v>42</v>
      </c>
      <c r="H72" s="31"/>
      <c r="I72" s="31" t="s">
        <v>515</v>
      </c>
      <c r="J72" s="28"/>
      <c r="K72" s="28"/>
      <c r="L72" s="22"/>
      <c r="M72" s="28"/>
      <c r="N72" s="28"/>
      <c r="O72" s="28"/>
      <c r="P72" s="28"/>
      <c r="Q72" s="24"/>
      <c r="R72" s="28"/>
    </row>
    <row r="73" spans="1:18" ht="15.75" customHeight="1">
      <c r="A73" s="23">
        <v>92</v>
      </c>
      <c r="B73" s="49" t="s">
        <v>333</v>
      </c>
      <c r="C73" s="49" t="s">
        <v>46</v>
      </c>
      <c r="D73" s="49" t="s">
        <v>516</v>
      </c>
      <c r="E73" s="49" t="s">
        <v>57</v>
      </c>
      <c r="F73" s="49">
        <v>2023</v>
      </c>
      <c r="G73" s="49">
        <v>32</v>
      </c>
      <c r="H73" s="50"/>
      <c r="I73" s="50">
        <v>46323</v>
      </c>
      <c r="J73" s="28"/>
      <c r="K73" s="28"/>
      <c r="L73" s="22"/>
      <c r="M73" s="28"/>
      <c r="N73" s="28"/>
      <c r="O73" s="28"/>
      <c r="P73" s="28"/>
      <c r="Q73" s="24"/>
      <c r="R73" s="28"/>
    </row>
    <row r="74" spans="1:18" ht="15.75" customHeight="1">
      <c r="A74" s="23">
        <v>55</v>
      </c>
      <c r="B74" s="23" t="s">
        <v>339</v>
      </c>
      <c r="C74" s="23" t="s">
        <v>46</v>
      </c>
      <c r="D74" s="23" t="s">
        <v>518</v>
      </c>
      <c r="E74" s="23" t="s">
        <v>57</v>
      </c>
      <c r="F74" s="23">
        <v>2023</v>
      </c>
      <c r="G74" s="23">
        <v>235</v>
      </c>
      <c r="H74" s="26"/>
      <c r="I74" s="26">
        <v>46201</v>
      </c>
      <c r="J74" s="28"/>
      <c r="K74" s="28"/>
      <c r="L74" s="22"/>
      <c r="M74" s="28"/>
      <c r="N74" s="28"/>
      <c r="O74" s="28"/>
      <c r="P74" s="28"/>
      <c r="Q74" s="24"/>
      <c r="R74" s="28"/>
    </row>
    <row r="75" spans="1:18" ht="15.75" customHeight="1">
      <c r="A75" s="23">
        <v>56</v>
      </c>
      <c r="B75" s="23" t="s">
        <v>339</v>
      </c>
      <c r="C75" s="23" t="s">
        <v>46</v>
      </c>
      <c r="D75" s="11" t="s">
        <v>521</v>
      </c>
      <c r="E75" s="23" t="s">
        <v>57</v>
      </c>
      <c r="F75" s="23">
        <v>2023</v>
      </c>
      <c r="G75" s="23">
        <v>417</v>
      </c>
      <c r="H75" s="26"/>
      <c r="I75" s="26">
        <v>46263</v>
      </c>
      <c r="J75" s="28"/>
      <c r="K75" s="28"/>
      <c r="L75" s="22"/>
      <c r="M75" s="28"/>
      <c r="N75" s="28"/>
      <c r="O75" s="28"/>
      <c r="P75" s="28"/>
      <c r="Q75" s="24"/>
      <c r="R75" s="28"/>
    </row>
    <row r="76" spans="1:18" ht="15.75" customHeight="1">
      <c r="A76" s="17">
        <v>82</v>
      </c>
      <c r="B76" s="17" t="s">
        <v>339</v>
      </c>
      <c r="C76" s="17" t="s">
        <v>46</v>
      </c>
      <c r="D76" s="17" t="s">
        <v>525</v>
      </c>
      <c r="E76" s="17" t="s">
        <v>43</v>
      </c>
      <c r="F76" s="17">
        <v>2023</v>
      </c>
      <c r="G76" s="17">
        <v>8</v>
      </c>
      <c r="H76" s="19"/>
      <c r="I76" s="19">
        <v>46382</v>
      </c>
      <c r="J76" s="28"/>
      <c r="K76" s="28"/>
      <c r="L76" s="22"/>
      <c r="M76" s="28"/>
      <c r="N76" s="28"/>
      <c r="O76" s="28"/>
      <c r="P76" s="28"/>
      <c r="Q76" s="24"/>
      <c r="R76" s="28"/>
    </row>
    <row r="77" spans="1:18" ht="15.75" customHeight="1">
      <c r="A77" s="35">
        <v>85</v>
      </c>
      <c r="B77" s="63" t="s">
        <v>339</v>
      </c>
      <c r="C77" s="63" t="s">
        <v>46</v>
      </c>
      <c r="D77" s="63" t="s">
        <v>530</v>
      </c>
      <c r="E77" s="63" t="s">
        <v>43</v>
      </c>
      <c r="F77" s="63">
        <v>2023</v>
      </c>
      <c r="G77" s="63">
        <v>4</v>
      </c>
      <c r="H77" s="65"/>
      <c r="I77" s="65">
        <v>46080</v>
      </c>
      <c r="J77" s="28"/>
      <c r="K77" s="28"/>
      <c r="L77" s="22"/>
      <c r="M77" s="28"/>
      <c r="N77" s="28"/>
      <c r="O77" s="28"/>
      <c r="P77" s="28"/>
      <c r="Q77" s="24"/>
      <c r="R77" s="28"/>
    </row>
    <row r="78" spans="1:18" ht="15.75" customHeight="1">
      <c r="A78" s="23">
        <v>88</v>
      </c>
      <c r="B78" s="49" t="s">
        <v>339</v>
      </c>
      <c r="C78" s="49" t="s">
        <v>46</v>
      </c>
      <c r="D78" s="49" t="s">
        <v>533</v>
      </c>
      <c r="E78" s="49" t="s">
        <v>43</v>
      </c>
      <c r="F78" s="49">
        <v>2023</v>
      </c>
      <c r="G78" s="49">
        <v>2</v>
      </c>
      <c r="H78" s="50"/>
      <c r="I78" s="50">
        <v>46383</v>
      </c>
      <c r="J78" s="28"/>
      <c r="K78" s="28"/>
      <c r="L78" s="22"/>
      <c r="M78" s="28"/>
      <c r="N78" s="28"/>
      <c r="O78" s="28"/>
      <c r="P78" s="28"/>
      <c r="Q78" s="24"/>
      <c r="R78" s="28"/>
    </row>
    <row r="79" spans="1:18" ht="15.75" customHeight="1">
      <c r="A79" s="35">
        <v>89</v>
      </c>
      <c r="B79" s="63" t="s">
        <v>339</v>
      </c>
      <c r="C79" s="63" t="s">
        <v>46</v>
      </c>
      <c r="D79" s="63" t="s">
        <v>534</v>
      </c>
      <c r="E79" s="63" t="s">
        <v>43</v>
      </c>
      <c r="F79" s="63">
        <v>2023</v>
      </c>
      <c r="G79" s="63">
        <v>29</v>
      </c>
      <c r="H79" s="65"/>
      <c r="I79" s="65">
        <v>46080</v>
      </c>
      <c r="J79" s="28"/>
      <c r="K79" s="28"/>
      <c r="L79" s="22"/>
      <c r="M79" s="28"/>
      <c r="N79" s="28"/>
      <c r="O79" s="28"/>
      <c r="P79" s="28"/>
      <c r="Q79" s="24"/>
      <c r="R79" s="28"/>
    </row>
    <row r="80" spans="1:18" ht="15.75" customHeight="1">
      <c r="A80" s="23">
        <v>97</v>
      </c>
      <c r="B80" s="23" t="s">
        <v>339</v>
      </c>
      <c r="C80" s="23" t="s">
        <v>46</v>
      </c>
      <c r="D80" s="23" t="s">
        <v>535</v>
      </c>
      <c r="E80" s="23" t="s">
        <v>57</v>
      </c>
      <c r="F80" s="23">
        <v>2023</v>
      </c>
      <c r="G80" s="23">
        <v>3</v>
      </c>
      <c r="H80" s="26"/>
      <c r="I80" s="26">
        <v>46081</v>
      </c>
      <c r="J80" s="28"/>
      <c r="K80" s="28"/>
      <c r="L80" s="22"/>
      <c r="M80" s="28"/>
      <c r="N80" s="28"/>
      <c r="O80" s="28"/>
      <c r="P80" s="28"/>
      <c r="Q80" s="24"/>
      <c r="R80" s="28"/>
    </row>
    <row r="81" spans="1:18" ht="15.75" customHeight="1">
      <c r="A81" s="23">
        <v>105</v>
      </c>
      <c r="B81" s="23" t="s">
        <v>339</v>
      </c>
      <c r="C81" s="23" t="s">
        <v>46</v>
      </c>
      <c r="D81" s="23" t="s">
        <v>538</v>
      </c>
      <c r="E81" s="23" t="s">
        <v>57</v>
      </c>
      <c r="F81" s="23">
        <v>2023</v>
      </c>
      <c r="G81" s="23">
        <v>98</v>
      </c>
      <c r="H81" s="26"/>
      <c r="I81" s="26">
        <v>46110</v>
      </c>
      <c r="J81" s="28"/>
      <c r="K81" s="28"/>
      <c r="L81" s="22"/>
      <c r="M81" s="28"/>
      <c r="N81" s="28"/>
      <c r="O81" s="28"/>
      <c r="P81" s="28"/>
      <c r="Q81" s="24"/>
      <c r="R81" s="28"/>
    </row>
    <row r="82" spans="1:18" ht="13">
      <c r="A82" s="23">
        <v>106</v>
      </c>
      <c r="B82" s="23" t="s">
        <v>339</v>
      </c>
      <c r="C82" s="23" t="s">
        <v>46</v>
      </c>
      <c r="D82" s="23" t="s">
        <v>539</v>
      </c>
      <c r="E82" s="23" t="s">
        <v>57</v>
      </c>
      <c r="F82" s="23">
        <v>2023</v>
      </c>
      <c r="G82" s="23">
        <v>5</v>
      </c>
      <c r="H82" s="26"/>
      <c r="I82" s="26">
        <v>46109</v>
      </c>
      <c r="J82" s="28"/>
      <c r="K82" s="28"/>
      <c r="L82" s="22"/>
      <c r="M82" s="28"/>
      <c r="N82" s="28"/>
      <c r="O82" s="28"/>
      <c r="P82" s="28"/>
      <c r="Q82" s="24"/>
      <c r="R82" s="28"/>
    </row>
    <row r="83" spans="1:18" ht="26">
      <c r="A83" s="23">
        <v>109</v>
      </c>
      <c r="B83" s="23" t="s">
        <v>339</v>
      </c>
      <c r="C83" s="23" t="s">
        <v>46</v>
      </c>
      <c r="D83" s="23" t="s">
        <v>543</v>
      </c>
      <c r="E83" s="23" t="s">
        <v>57</v>
      </c>
      <c r="F83" s="23">
        <v>2023</v>
      </c>
      <c r="G83" s="23">
        <v>10</v>
      </c>
      <c r="H83" s="23"/>
      <c r="I83" s="23" t="s">
        <v>515</v>
      </c>
      <c r="J83" s="28"/>
      <c r="K83" s="28"/>
      <c r="L83" s="22"/>
      <c r="M83" s="28"/>
      <c r="N83" s="28"/>
      <c r="O83" s="28"/>
      <c r="P83" s="28"/>
      <c r="Q83" s="24"/>
      <c r="R83" s="28"/>
    </row>
    <row r="84" spans="1:18" ht="26">
      <c r="A84" s="23">
        <v>113</v>
      </c>
      <c r="B84" s="23" t="s">
        <v>339</v>
      </c>
      <c r="C84" s="23" t="s">
        <v>46</v>
      </c>
      <c r="D84" s="23" t="s">
        <v>545</v>
      </c>
      <c r="E84" s="23" t="s">
        <v>57</v>
      </c>
      <c r="F84" s="23">
        <v>2023</v>
      </c>
      <c r="G84" s="23">
        <v>55</v>
      </c>
      <c r="H84" s="26"/>
      <c r="I84" s="26">
        <v>46141</v>
      </c>
      <c r="J84" s="28"/>
      <c r="K84" s="28"/>
      <c r="L84" s="22"/>
      <c r="M84" s="28"/>
      <c r="N84" s="28"/>
      <c r="O84" s="28"/>
      <c r="P84" s="28"/>
      <c r="Q84" s="24"/>
      <c r="R84" s="28"/>
    </row>
    <row r="85" spans="1:18" ht="26">
      <c r="A85" s="35">
        <v>118</v>
      </c>
      <c r="B85" s="35" t="s">
        <v>339</v>
      </c>
      <c r="C85" s="35" t="s">
        <v>46</v>
      </c>
      <c r="D85" s="35" t="s">
        <v>546</v>
      </c>
      <c r="E85" s="35" t="s">
        <v>57</v>
      </c>
      <c r="F85" s="35">
        <v>2023</v>
      </c>
      <c r="G85" s="35">
        <v>3</v>
      </c>
      <c r="H85" s="36"/>
      <c r="I85" s="36">
        <v>46080</v>
      </c>
      <c r="J85" s="28"/>
      <c r="K85" s="28"/>
      <c r="L85" s="22"/>
      <c r="M85" s="28"/>
      <c r="N85" s="28"/>
      <c r="O85" s="28"/>
      <c r="P85" s="28"/>
      <c r="Q85" s="24"/>
      <c r="R85" s="28"/>
    </row>
    <row r="86" spans="1:18" ht="39">
      <c r="A86" s="23">
        <v>120</v>
      </c>
      <c r="B86" s="23" t="s">
        <v>339</v>
      </c>
      <c r="C86" s="23" t="s">
        <v>46</v>
      </c>
      <c r="D86" s="23" t="s">
        <v>547</v>
      </c>
      <c r="E86" s="23" t="s">
        <v>57</v>
      </c>
      <c r="F86" s="23">
        <v>2023</v>
      </c>
      <c r="G86" s="23">
        <v>3</v>
      </c>
      <c r="H86" s="26"/>
      <c r="I86" s="26">
        <v>46109</v>
      </c>
      <c r="J86" s="28"/>
      <c r="K86" s="28"/>
      <c r="L86" s="22"/>
      <c r="M86" s="28"/>
      <c r="N86" s="28"/>
      <c r="O86" s="28"/>
      <c r="P86" s="28"/>
      <c r="Q86" s="24"/>
      <c r="R86" s="28"/>
    </row>
    <row r="87" spans="1:18" ht="13">
      <c r="A87" s="31">
        <v>121</v>
      </c>
      <c r="B87" s="23" t="s">
        <v>339</v>
      </c>
      <c r="C87" s="23" t="s">
        <v>46</v>
      </c>
      <c r="D87" s="23" t="s">
        <v>548</v>
      </c>
      <c r="E87" s="23" t="s">
        <v>57</v>
      </c>
      <c r="F87" s="23">
        <v>2023</v>
      </c>
      <c r="G87" s="23">
        <v>2</v>
      </c>
      <c r="H87" s="26"/>
      <c r="I87" s="26">
        <v>46383</v>
      </c>
      <c r="J87" s="28"/>
      <c r="K87" s="28"/>
      <c r="L87" s="22"/>
      <c r="M87" s="28"/>
      <c r="N87" s="28"/>
      <c r="O87" s="28"/>
      <c r="P87" s="28"/>
      <c r="Q87" s="24"/>
      <c r="R87" s="28"/>
    </row>
    <row r="88" spans="1:18" ht="26">
      <c r="A88" s="31">
        <v>122</v>
      </c>
      <c r="B88" s="23" t="s">
        <v>339</v>
      </c>
      <c r="C88" s="23" t="s">
        <v>46</v>
      </c>
      <c r="D88" s="23" t="s">
        <v>550</v>
      </c>
      <c r="E88" s="23" t="s">
        <v>57</v>
      </c>
      <c r="F88" s="23">
        <v>2023</v>
      </c>
      <c r="G88" s="23">
        <v>65</v>
      </c>
      <c r="H88" s="97"/>
      <c r="I88" s="26">
        <v>46354</v>
      </c>
      <c r="J88" s="28"/>
      <c r="K88" s="28"/>
      <c r="L88" s="22"/>
      <c r="M88" s="28"/>
      <c r="N88" s="28"/>
      <c r="O88" s="28"/>
      <c r="P88" s="28"/>
      <c r="Q88" s="24"/>
      <c r="R88" s="28"/>
    </row>
    <row r="89" spans="1:18" ht="39">
      <c r="A89" s="31">
        <v>123</v>
      </c>
      <c r="B89" s="23" t="s">
        <v>339</v>
      </c>
      <c r="C89" s="23" t="s">
        <v>46</v>
      </c>
      <c r="D89" s="23" t="s">
        <v>553</v>
      </c>
      <c r="E89" s="23" t="s">
        <v>57</v>
      </c>
      <c r="F89" s="23">
        <v>2024</v>
      </c>
      <c r="G89" s="23">
        <v>9</v>
      </c>
      <c r="H89" s="26"/>
      <c r="I89" s="26">
        <v>46383</v>
      </c>
      <c r="J89" s="28"/>
      <c r="K89" s="28"/>
      <c r="L89" s="22"/>
      <c r="M89" s="28"/>
      <c r="N89" s="28"/>
      <c r="O89" s="28"/>
      <c r="P89" s="28"/>
      <c r="Q89" s="24"/>
      <c r="R89" s="28"/>
    </row>
    <row r="90" spans="1:18" ht="39">
      <c r="A90" s="31">
        <v>128</v>
      </c>
      <c r="B90" s="23" t="s">
        <v>339</v>
      </c>
      <c r="C90" s="23" t="s">
        <v>46</v>
      </c>
      <c r="D90" s="23" t="s">
        <v>557</v>
      </c>
      <c r="E90" s="23" t="s">
        <v>57</v>
      </c>
      <c r="F90" s="23">
        <v>2024</v>
      </c>
      <c r="G90" s="23">
        <v>100</v>
      </c>
      <c r="H90" s="26"/>
      <c r="I90" s="26">
        <v>46110</v>
      </c>
      <c r="J90" s="28"/>
      <c r="K90" s="28"/>
      <c r="L90" s="22"/>
      <c r="M90" s="28"/>
      <c r="N90" s="28"/>
      <c r="O90" s="28"/>
      <c r="P90" s="28"/>
      <c r="Q90" s="24"/>
      <c r="R90" s="28"/>
    </row>
    <row r="91" spans="1:18" ht="26">
      <c r="A91" s="17">
        <v>129</v>
      </c>
      <c r="B91" s="35" t="s">
        <v>339</v>
      </c>
      <c r="C91" s="35" t="s">
        <v>46</v>
      </c>
      <c r="D91" s="35" t="s">
        <v>559</v>
      </c>
      <c r="E91" s="35" t="s">
        <v>57</v>
      </c>
      <c r="F91" s="35">
        <v>2024</v>
      </c>
      <c r="G91" s="35">
        <v>11</v>
      </c>
      <c r="H91" s="36"/>
      <c r="I91" s="36">
        <v>46080</v>
      </c>
      <c r="J91" s="28"/>
      <c r="K91" s="28"/>
      <c r="L91" s="22"/>
      <c r="M91" s="28"/>
      <c r="N91" s="28"/>
      <c r="O91" s="28"/>
      <c r="P91" s="28"/>
      <c r="Q91" s="24"/>
      <c r="R91" s="28"/>
    </row>
    <row r="92" spans="1:18" ht="42">
      <c r="A92" s="31">
        <v>131</v>
      </c>
      <c r="B92" s="31" t="s">
        <v>339</v>
      </c>
      <c r="C92" s="31" t="s">
        <v>46</v>
      </c>
      <c r="D92" s="31" t="s">
        <v>561</v>
      </c>
      <c r="E92" s="31" t="s">
        <v>57</v>
      </c>
      <c r="F92" s="31">
        <v>2024</v>
      </c>
      <c r="G92" s="31">
        <v>2</v>
      </c>
      <c r="H92" s="34"/>
      <c r="I92" s="34">
        <v>46383</v>
      </c>
      <c r="J92" s="28"/>
      <c r="K92" s="28"/>
      <c r="L92" s="22"/>
      <c r="M92" s="28"/>
      <c r="N92" s="28"/>
      <c r="O92" s="28"/>
      <c r="P92" s="28"/>
      <c r="Q92" s="24"/>
      <c r="R92" s="28"/>
    </row>
    <row r="93" spans="1:18" ht="13">
      <c r="A93" s="23">
        <v>57</v>
      </c>
      <c r="B93" s="23" t="s">
        <v>367</v>
      </c>
      <c r="C93" s="23" t="s">
        <v>46</v>
      </c>
      <c r="D93" s="23" t="s">
        <v>565</v>
      </c>
      <c r="E93" s="23" t="s">
        <v>43</v>
      </c>
      <c r="F93" s="23">
        <v>2022</v>
      </c>
      <c r="G93" s="23">
        <v>80</v>
      </c>
      <c r="H93" s="26"/>
      <c r="I93" s="26">
        <v>46201</v>
      </c>
      <c r="J93" s="28"/>
      <c r="K93" s="28"/>
      <c r="L93" s="22"/>
      <c r="M93" s="28"/>
      <c r="N93" s="28"/>
      <c r="O93" s="28"/>
      <c r="P93" s="28"/>
      <c r="Q93" s="24"/>
      <c r="R93" s="28"/>
    </row>
    <row r="94" spans="1:18" ht="15">
      <c r="A94" s="31">
        <v>66</v>
      </c>
      <c r="B94" s="74" t="s">
        <v>367</v>
      </c>
      <c r="C94" s="74" t="s">
        <v>46</v>
      </c>
      <c r="D94" s="74" t="s">
        <v>569</v>
      </c>
      <c r="E94" s="74" t="s">
        <v>43</v>
      </c>
      <c r="F94" s="74">
        <v>2022</v>
      </c>
      <c r="G94" s="74">
        <v>6</v>
      </c>
      <c r="H94" s="75"/>
      <c r="I94" s="75">
        <v>46139</v>
      </c>
      <c r="J94" s="28"/>
      <c r="K94" s="28"/>
      <c r="L94" s="22"/>
      <c r="M94" s="28"/>
      <c r="N94" s="28"/>
      <c r="O94" s="28"/>
      <c r="P94" s="28"/>
      <c r="Q94" s="24"/>
      <c r="R94" s="28"/>
    </row>
    <row r="95" spans="1:18" ht="15">
      <c r="A95" s="17">
        <v>67</v>
      </c>
      <c r="B95" s="85" t="s">
        <v>367</v>
      </c>
      <c r="C95" s="85" t="s">
        <v>46</v>
      </c>
      <c r="D95" s="85" t="s">
        <v>571</v>
      </c>
      <c r="E95" s="85" t="s">
        <v>43</v>
      </c>
      <c r="F95" s="85">
        <v>2022</v>
      </c>
      <c r="G95" s="85">
        <v>31</v>
      </c>
      <c r="H95" s="86"/>
      <c r="I95" s="86">
        <v>46108</v>
      </c>
      <c r="J95" s="28"/>
      <c r="K95" s="28"/>
      <c r="L95" s="22"/>
      <c r="M95" s="28"/>
      <c r="N95" s="28"/>
      <c r="O95" s="28"/>
      <c r="P95" s="28"/>
      <c r="Q95" s="24"/>
      <c r="R95" s="28"/>
    </row>
    <row r="96" spans="1:18" ht="15">
      <c r="A96" s="17">
        <v>68</v>
      </c>
      <c r="B96" s="85" t="s">
        <v>367</v>
      </c>
      <c r="C96" s="85" t="s">
        <v>46</v>
      </c>
      <c r="D96" s="85" t="s">
        <v>573</v>
      </c>
      <c r="E96" s="85" t="s">
        <v>43</v>
      </c>
      <c r="F96" s="85">
        <v>2022</v>
      </c>
      <c r="G96" s="85">
        <v>9</v>
      </c>
      <c r="H96" s="86"/>
      <c r="I96" s="86">
        <v>46049</v>
      </c>
      <c r="J96" s="28"/>
      <c r="K96" s="28"/>
      <c r="L96" s="22"/>
      <c r="M96" s="28"/>
      <c r="N96" s="28"/>
      <c r="O96" s="28"/>
      <c r="P96" s="28"/>
      <c r="Q96" s="24"/>
      <c r="R96" s="28"/>
    </row>
    <row r="97" spans="1:18" ht="15">
      <c r="A97" s="17">
        <v>69</v>
      </c>
      <c r="B97" s="85" t="s">
        <v>367</v>
      </c>
      <c r="C97" s="85" t="s">
        <v>46</v>
      </c>
      <c r="D97" s="85" t="s">
        <v>575</v>
      </c>
      <c r="E97" s="85" t="s">
        <v>43</v>
      </c>
      <c r="F97" s="85">
        <v>2022</v>
      </c>
      <c r="G97" s="85">
        <v>6</v>
      </c>
      <c r="H97" s="86"/>
      <c r="I97" s="86">
        <v>46382</v>
      </c>
      <c r="J97" s="28"/>
      <c r="K97" s="28"/>
      <c r="L97" s="22"/>
      <c r="M97" s="28"/>
      <c r="N97" s="28"/>
      <c r="O97" s="28"/>
      <c r="P97" s="28"/>
      <c r="Q97" s="24"/>
      <c r="R97" s="28"/>
    </row>
    <row r="98" spans="1:18" ht="15">
      <c r="A98" s="17">
        <v>70</v>
      </c>
      <c r="B98" s="85" t="s">
        <v>367</v>
      </c>
      <c r="C98" s="85" t="s">
        <v>46</v>
      </c>
      <c r="D98" s="85" t="s">
        <v>578</v>
      </c>
      <c r="E98" s="85" t="s">
        <v>43</v>
      </c>
      <c r="F98" s="85">
        <v>2022</v>
      </c>
      <c r="G98" s="85">
        <v>8</v>
      </c>
      <c r="H98" s="86"/>
      <c r="I98" s="86">
        <v>46382</v>
      </c>
      <c r="J98" s="28"/>
      <c r="K98" s="28"/>
      <c r="L98" s="22"/>
      <c r="M98" s="28"/>
      <c r="N98" s="28"/>
      <c r="O98" s="28"/>
      <c r="P98" s="28"/>
      <c r="Q98" s="24"/>
      <c r="R98" s="28"/>
    </row>
    <row r="99" spans="1:18" ht="15">
      <c r="A99" s="31">
        <v>71</v>
      </c>
      <c r="B99" s="74" t="s">
        <v>367</v>
      </c>
      <c r="C99" s="74" t="s">
        <v>46</v>
      </c>
      <c r="D99" s="74" t="s">
        <v>581</v>
      </c>
      <c r="E99" s="74" t="s">
        <v>43</v>
      </c>
      <c r="F99" s="74">
        <v>2022</v>
      </c>
      <c r="G99" s="74">
        <v>9</v>
      </c>
      <c r="H99" s="83"/>
      <c r="I99" s="83">
        <v>46169</v>
      </c>
      <c r="J99" s="28"/>
      <c r="K99" s="28"/>
      <c r="L99" s="22"/>
      <c r="M99" s="28"/>
      <c r="N99" s="28"/>
      <c r="O99" s="28"/>
      <c r="P99" s="28"/>
      <c r="Q99" s="24"/>
      <c r="R99" s="28"/>
    </row>
    <row r="100" spans="1:18" ht="15">
      <c r="A100" s="17">
        <v>72</v>
      </c>
      <c r="B100" s="85" t="s">
        <v>367</v>
      </c>
      <c r="C100" s="85" t="s">
        <v>46</v>
      </c>
      <c r="D100" s="85" t="s">
        <v>583</v>
      </c>
      <c r="E100" s="85" t="s">
        <v>43</v>
      </c>
      <c r="F100" s="85">
        <v>2022</v>
      </c>
      <c r="G100" s="85">
        <v>16</v>
      </c>
      <c r="H100" s="86"/>
      <c r="I100" s="86">
        <v>46108</v>
      </c>
      <c r="J100" s="28"/>
      <c r="K100" s="28"/>
      <c r="L100" s="22"/>
      <c r="M100" s="28"/>
      <c r="N100" s="28"/>
      <c r="O100" s="28"/>
      <c r="P100" s="28"/>
      <c r="Q100" s="24"/>
      <c r="R100" s="28"/>
    </row>
    <row r="101" spans="1:18" ht="15">
      <c r="A101" s="17">
        <v>73</v>
      </c>
      <c r="B101" s="85" t="s">
        <v>367</v>
      </c>
      <c r="C101" s="85" t="s">
        <v>46</v>
      </c>
      <c r="D101" s="85" t="s">
        <v>584</v>
      </c>
      <c r="E101" s="85" t="s">
        <v>43</v>
      </c>
      <c r="F101" s="85">
        <v>2022</v>
      </c>
      <c r="G101" s="85">
        <v>6</v>
      </c>
      <c r="H101" s="86"/>
      <c r="I101" s="86">
        <v>46382</v>
      </c>
      <c r="J101" s="28"/>
      <c r="K101" s="28"/>
      <c r="L101" s="22"/>
      <c r="M101" s="28"/>
      <c r="N101" s="28"/>
      <c r="O101" s="28"/>
      <c r="P101" s="28"/>
      <c r="Q101" s="24"/>
      <c r="R101" s="28"/>
    </row>
    <row r="102" spans="1:18" ht="14">
      <c r="A102" s="31">
        <v>75</v>
      </c>
      <c r="B102" s="31" t="s">
        <v>367</v>
      </c>
      <c r="C102" s="31" t="s">
        <v>46</v>
      </c>
      <c r="D102" s="31" t="s">
        <v>586</v>
      </c>
      <c r="E102" s="31" t="s">
        <v>43</v>
      </c>
      <c r="F102" s="31">
        <v>2022</v>
      </c>
      <c r="G102" s="31">
        <v>7</v>
      </c>
      <c r="H102" s="34"/>
      <c r="I102" s="34">
        <v>46383</v>
      </c>
      <c r="J102" s="28"/>
      <c r="K102" s="28"/>
      <c r="L102" s="22"/>
      <c r="M102" s="28"/>
      <c r="N102" s="28"/>
      <c r="O102" s="28"/>
      <c r="P102" s="28"/>
      <c r="Q102" s="24"/>
      <c r="R102" s="28"/>
    </row>
    <row r="103" spans="1:18" ht="28">
      <c r="A103" s="17">
        <v>77</v>
      </c>
      <c r="B103" s="17" t="s">
        <v>367</v>
      </c>
      <c r="C103" s="17" t="s">
        <v>46</v>
      </c>
      <c r="D103" s="17" t="s">
        <v>590</v>
      </c>
      <c r="E103" s="17" t="s">
        <v>43</v>
      </c>
      <c r="F103" s="17">
        <v>2022</v>
      </c>
      <c r="G103" s="17">
        <v>3</v>
      </c>
      <c r="H103" s="19"/>
      <c r="I103" s="19">
        <v>46108</v>
      </c>
      <c r="J103" s="28"/>
      <c r="K103" s="28"/>
      <c r="L103" s="22"/>
      <c r="M103" s="28"/>
      <c r="N103" s="28"/>
      <c r="O103" s="28"/>
      <c r="P103" s="28"/>
      <c r="Q103" s="24"/>
      <c r="R103" s="28"/>
    </row>
    <row r="104" spans="1:18" ht="14">
      <c r="A104" s="17">
        <v>78</v>
      </c>
      <c r="B104" s="17" t="s">
        <v>367</v>
      </c>
      <c r="C104" s="17" t="s">
        <v>46</v>
      </c>
      <c r="D104" s="17" t="s">
        <v>592</v>
      </c>
      <c r="E104" s="17" t="s">
        <v>43</v>
      </c>
      <c r="F104" s="17">
        <v>2022</v>
      </c>
      <c r="G104" s="17">
        <v>14</v>
      </c>
      <c r="H104" s="19"/>
      <c r="I104" s="19">
        <v>46108</v>
      </c>
      <c r="J104" s="28"/>
      <c r="K104" s="28"/>
      <c r="L104" s="22"/>
      <c r="M104" s="28"/>
      <c r="N104" s="28"/>
      <c r="O104" s="28"/>
      <c r="P104" s="28"/>
      <c r="Q104" s="24"/>
      <c r="R104" s="28"/>
    </row>
    <row r="105" spans="1:18" ht="26">
      <c r="A105" s="23">
        <v>58</v>
      </c>
      <c r="B105" s="23" t="s">
        <v>384</v>
      </c>
      <c r="C105" s="23" t="s">
        <v>46</v>
      </c>
      <c r="D105" s="23" t="s">
        <v>594</v>
      </c>
      <c r="E105" s="23" t="s">
        <v>65</v>
      </c>
      <c r="F105" s="23">
        <v>2021</v>
      </c>
      <c r="G105" s="23">
        <v>17</v>
      </c>
      <c r="H105" s="23" t="s">
        <v>595</v>
      </c>
      <c r="I105" s="26">
        <v>46201</v>
      </c>
      <c r="J105" s="28" t="s">
        <v>107</v>
      </c>
      <c r="K105" s="28" t="s">
        <v>107</v>
      </c>
      <c r="L105" s="22"/>
      <c r="M105" s="28">
        <v>472.5</v>
      </c>
      <c r="N105" s="28">
        <v>472.5</v>
      </c>
      <c r="O105" s="28">
        <f t="shared" ref="O105:O110" si="2">N105-M105</f>
        <v>0</v>
      </c>
      <c r="P105" s="28" t="s">
        <v>107</v>
      </c>
      <c r="Q105" s="24" t="s">
        <v>265</v>
      </c>
      <c r="R105" s="28"/>
    </row>
    <row r="106" spans="1:18" ht="39">
      <c r="A106" s="35">
        <v>59</v>
      </c>
      <c r="B106" s="35" t="s">
        <v>384</v>
      </c>
      <c r="C106" s="35" t="s">
        <v>46</v>
      </c>
      <c r="D106" s="35" t="s">
        <v>597</v>
      </c>
      <c r="E106" s="35" t="s">
        <v>494</v>
      </c>
      <c r="F106" s="35">
        <v>2021</v>
      </c>
      <c r="G106" s="35">
        <v>13</v>
      </c>
      <c r="H106" s="35" t="s">
        <v>285</v>
      </c>
      <c r="I106" s="36">
        <v>46108</v>
      </c>
      <c r="J106" s="28" t="s">
        <v>107</v>
      </c>
      <c r="K106" s="28" t="s">
        <v>107</v>
      </c>
      <c r="L106" s="22"/>
      <c r="M106" s="28">
        <v>142.06</v>
      </c>
      <c r="N106" s="28">
        <v>142.06</v>
      </c>
      <c r="O106" s="28">
        <f t="shared" si="2"/>
        <v>0</v>
      </c>
      <c r="P106" s="28" t="s">
        <v>107</v>
      </c>
      <c r="Q106" s="24" t="s">
        <v>265</v>
      </c>
      <c r="R106" s="28"/>
    </row>
    <row r="107" spans="1:18" ht="30">
      <c r="A107" s="17">
        <v>60</v>
      </c>
      <c r="B107" s="85" t="s">
        <v>384</v>
      </c>
      <c r="C107" s="85" t="s">
        <v>46</v>
      </c>
      <c r="D107" s="85" t="s">
        <v>601</v>
      </c>
      <c r="E107" s="85" t="s">
        <v>43</v>
      </c>
      <c r="F107" s="85">
        <v>2022</v>
      </c>
      <c r="G107" s="85">
        <v>10</v>
      </c>
      <c r="H107" s="85" t="s">
        <v>191</v>
      </c>
      <c r="I107" s="86">
        <v>46382</v>
      </c>
      <c r="J107" s="28" t="s">
        <v>351</v>
      </c>
      <c r="K107" s="28" t="s">
        <v>603</v>
      </c>
      <c r="L107" s="22"/>
      <c r="M107" s="28">
        <v>244.99</v>
      </c>
      <c r="N107" s="28">
        <v>244.99</v>
      </c>
      <c r="O107" s="28">
        <f t="shared" si="2"/>
        <v>0</v>
      </c>
      <c r="P107" s="28" t="s">
        <v>107</v>
      </c>
      <c r="Q107" s="24" t="s">
        <v>265</v>
      </c>
      <c r="R107" s="28"/>
    </row>
    <row r="108" spans="1:18" ht="26">
      <c r="A108" s="23">
        <v>114</v>
      </c>
      <c r="B108" s="23" t="s">
        <v>384</v>
      </c>
      <c r="C108" s="23" t="s">
        <v>46</v>
      </c>
      <c r="D108" s="23" t="s">
        <v>606</v>
      </c>
      <c r="E108" s="23" t="s">
        <v>57</v>
      </c>
      <c r="F108" s="23">
        <v>2023</v>
      </c>
      <c r="G108" s="23">
        <v>4</v>
      </c>
      <c r="H108" s="23" t="s">
        <v>607</v>
      </c>
      <c r="I108" s="26">
        <v>46200</v>
      </c>
      <c r="J108" s="28" t="s">
        <v>107</v>
      </c>
      <c r="K108" s="28" t="s">
        <v>107</v>
      </c>
      <c r="L108" s="22"/>
      <c r="M108" s="28">
        <v>75.45</v>
      </c>
      <c r="N108" s="28">
        <v>100.2</v>
      </c>
      <c r="O108" s="28">
        <f t="shared" si="2"/>
        <v>24.75</v>
      </c>
      <c r="P108" s="28" t="s">
        <v>608</v>
      </c>
      <c r="Q108" s="24"/>
      <c r="R108" s="28"/>
    </row>
    <row r="109" spans="1:18" ht="26">
      <c r="A109" s="35">
        <v>117</v>
      </c>
      <c r="B109" s="35" t="s">
        <v>384</v>
      </c>
      <c r="C109" s="35" t="s">
        <v>46</v>
      </c>
      <c r="D109" s="35" t="s">
        <v>610</v>
      </c>
      <c r="E109" s="35" t="s">
        <v>57</v>
      </c>
      <c r="F109" s="35">
        <v>2023</v>
      </c>
      <c r="G109" s="35">
        <v>22</v>
      </c>
      <c r="H109" s="35" t="s">
        <v>611</v>
      </c>
      <c r="I109" s="36">
        <v>46049</v>
      </c>
      <c r="J109" s="28" t="s">
        <v>107</v>
      </c>
      <c r="K109" s="28" t="s">
        <v>107</v>
      </c>
      <c r="L109" s="22"/>
      <c r="M109" s="28">
        <v>320.95</v>
      </c>
      <c r="N109" s="28">
        <v>320.95</v>
      </c>
      <c r="O109" s="28">
        <f t="shared" si="2"/>
        <v>0</v>
      </c>
      <c r="P109" s="28" t="s">
        <v>107</v>
      </c>
      <c r="Q109" s="24" t="s">
        <v>265</v>
      </c>
      <c r="R109" s="28"/>
    </row>
    <row r="110" spans="1:18" ht="14">
      <c r="A110" s="23">
        <v>132</v>
      </c>
      <c r="B110" s="31" t="s">
        <v>384</v>
      </c>
      <c r="C110" s="31" t="s">
        <v>46</v>
      </c>
      <c r="D110" s="31" t="s">
        <v>612</v>
      </c>
      <c r="E110" s="31" t="s">
        <v>57</v>
      </c>
      <c r="F110" s="31">
        <v>2024</v>
      </c>
      <c r="G110" s="31">
        <v>6</v>
      </c>
      <c r="H110" s="31" t="s">
        <v>613</v>
      </c>
      <c r="I110" s="34">
        <v>46109</v>
      </c>
      <c r="J110" s="28" t="s">
        <v>107</v>
      </c>
      <c r="K110" s="28" t="s">
        <v>107</v>
      </c>
      <c r="L110" s="22"/>
      <c r="M110" s="28">
        <v>137.22999999999999</v>
      </c>
      <c r="N110" s="28">
        <v>137.22999999999999</v>
      </c>
      <c r="O110" s="28">
        <f t="shared" si="2"/>
        <v>0</v>
      </c>
      <c r="P110" s="28" t="s">
        <v>107</v>
      </c>
      <c r="Q110" s="24" t="s">
        <v>265</v>
      </c>
      <c r="R110" s="28"/>
    </row>
    <row r="111" spans="1:18" ht="42">
      <c r="A111" s="31">
        <v>130</v>
      </c>
      <c r="B111" s="31" t="s">
        <v>407</v>
      </c>
      <c r="C111" s="31" t="s">
        <v>46</v>
      </c>
      <c r="D111" s="31" t="s">
        <v>615</v>
      </c>
      <c r="E111" s="31" t="s">
        <v>57</v>
      </c>
      <c r="F111" s="31">
        <v>2024</v>
      </c>
      <c r="G111" s="31">
        <v>10</v>
      </c>
      <c r="H111" s="34"/>
      <c r="I111" s="34">
        <v>46385</v>
      </c>
      <c r="J111" s="28"/>
      <c r="K111" s="28"/>
      <c r="L111" s="22"/>
      <c r="M111" s="28"/>
      <c r="N111" s="28"/>
      <c r="O111" s="28"/>
      <c r="P111" s="28"/>
      <c r="Q111" s="24"/>
      <c r="R111" s="28"/>
    </row>
    <row r="112" spans="1:18" ht="112">
      <c r="A112" s="23">
        <v>11</v>
      </c>
      <c r="B112" s="23" t="s">
        <v>416</v>
      </c>
      <c r="C112" s="23" t="s">
        <v>35</v>
      </c>
      <c r="D112" s="23" t="s">
        <v>618</v>
      </c>
      <c r="E112" s="23" t="s">
        <v>619</v>
      </c>
      <c r="F112" s="23">
        <v>2019</v>
      </c>
      <c r="G112" s="23">
        <v>96</v>
      </c>
      <c r="H112" s="26">
        <v>46383</v>
      </c>
      <c r="I112" s="26">
        <v>46052</v>
      </c>
      <c r="J112" s="28" t="s">
        <v>620</v>
      </c>
      <c r="K112" s="28" t="s">
        <v>621</v>
      </c>
      <c r="L112" s="22" t="s">
        <v>22</v>
      </c>
      <c r="M112" s="28">
        <v>956</v>
      </c>
      <c r="N112" s="28">
        <v>994.47</v>
      </c>
      <c r="O112" s="28">
        <f t="shared" ref="O112:O117" si="3">N112-M112</f>
        <v>38.470000000000027</v>
      </c>
      <c r="P112" s="28" t="s">
        <v>623</v>
      </c>
      <c r="Q112" s="28"/>
      <c r="R112" s="28"/>
    </row>
    <row r="113" spans="1:18" ht="42">
      <c r="A113" s="31">
        <v>12</v>
      </c>
      <c r="B113" s="31" t="s">
        <v>416</v>
      </c>
      <c r="C113" s="31" t="s">
        <v>35</v>
      </c>
      <c r="D113" s="31" t="s">
        <v>624</v>
      </c>
      <c r="E113" s="31" t="s">
        <v>65</v>
      </c>
      <c r="F113" s="31">
        <v>2022</v>
      </c>
      <c r="G113" s="31">
        <v>32</v>
      </c>
      <c r="H113" s="31" t="s">
        <v>625</v>
      </c>
      <c r="I113" s="31" t="s">
        <v>626</v>
      </c>
      <c r="J113" s="28" t="s">
        <v>107</v>
      </c>
      <c r="K113" s="28" t="s">
        <v>627</v>
      </c>
      <c r="L113" s="22" t="s">
        <v>22</v>
      </c>
      <c r="M113" s="109">
        <v>462.93</v>
      </c>
      <c r="N113" s="28">
        <v>748.84</v>
      </c>
      <c r="O113" s="28">
        <f t="shared" si="3"/>
        <v>285.91000000000003</v>
      </c>
      <c r="P113" s="28" t="s">
        <v>629</v>
      </c>
      <c r="Q113" s="28"/>
      <c r="R113" s="28"/>
    </row>
    <row r="114" spans="1:18" ht="42">
      <c r="A114" s="31">
        <v>13</v>
      </c>
      <c r="B114" s="31" t="s">
        <v>416</v>
      </c>
      <c r="C114" s="31" t="s">
        <v>35</v>
      </c>
      <c r="D114" s="31" t="s">
        <v>630</v>
      </c>
      <c r="E114" s="31" t="s">
        <v>366</v>
      </c>
      <c r="F114" s="31">
        <v>2020</v>
      </c>
      <c r="G114" s="31">
        <v>73</v>
      </c>
      <c r="H114" s="31" t="s">
        <v>625</v>
      </c>
      <c r="I114" s="34">
        <v>46383</v>
      </c>
      <c r="J114" s="28" t="s">
        <v>107</v>
      </c>
      <c r="K114" s="28" t="s">
        <v>631</v>
      </c>
      <c r="L114" s="22" t="s">
        <v>22</v>
      </c>
      <c r="M114" s="28">
        <v>988</v>
      </c>
      <c r="N114" s="28">
        <v>927.42</v>
      </c>
      <c r="O114" s="28">
        <f t="shared" si="3"/>
        <v>-60.580000000000041</v>
      </c>
      <c r="P114" s="28" t="s">
        <v>633</v>
      </c>
      <c r="Q114" s="28"/>
      <c r="R114" s="28"/>
    </row>
    <row r="115" spans="1:18" ht="28">
      <c r="A115" s="31">
        <v>15</v>
      </c>
      <c r="B115" s="31" t="s">
        <v>416</v>
      </c>
      <c r="C115" s="31" t="s">
        <v>35</v>
      </c>
      <c r="D115" s="31" t="s">
        <v>634</v>
      </c>
      <c r="E115" s="31" t="s">
        <v>43</v>
      </c>
      <c r="F115" s="31">
        <v>2022</v>
      </c>
      <c r="G115" s="31">
        <v>18</v>
      </c>
      <c r="H115" s="111">
        <v>46105</v>
      </c>
      <c r="I115" s="111">
        <v>46170</v>
      </c>
      <c r="J115" s="28" t="s">
        <v>635</v>
      </c>
      <c r="K115" s="28" t="s">
        <v>636</v>
      </c>
      <c r="L115" s="22" t="s">
        <v>45</v>
      </c>
      <c r="M115" s="28">
        <v>323.14</v>
      </c>
      <c r="N115" s="28">
        <v>342.14</v>
      </c>
      <c r="O115" s="28">
        <f t="shared" si="3"/>
        <v>19</v>
      </c>
      <c r="P115" s="28" t="s">
        <v>639</v>
      </c>
      <c r="Q115" s="28"/>
      <c r="R115" s="28"/>
    </row>
    <row r="116" spans="1:18" ht="15">
      <c r="A116" s="31">
        <v>61</v>
      </c>
      <c r="B116" s="74" t="s">
        <v>416</v>
      </c>
      <c r="C116" s="74" t="s">
        <v>46</v>
      </c>
      <c r="D116" s="74" t="s">
        <v>641</v>
      </c>
      <c r="E116" s="74" t="s">
        <v>65</v>
      </c>
      <c r="F116" s="74">
        <v>2018</v>
      </c>
      <c r="G116" s="74">
        <v>48</v>
      </c>
      <c r="H116" s="75"/>
      <c r="I116" s="75">
        <v>46200</v>
      </c>
      <c r="J116" s="28"/>
      <c r="K116" s="28"/>
      <c r="L116" s="22"/>
      <c r="M116" s="28">
        <v>375</v>
      </c>
      <c r="N116" s="28">
        <v>498.73</v>
      </c>
      <c r="O116" s="28">
        <f t="shared" si="3"/>
        <v>123.73000000000002</v>
      </c>
      <c r="P116" s="28"/>
      <c r="Q116" s="24"/>
      <c r="R116" s="28"/>
    </row>
    <row r="117" spans="1:18" ht="15">
      <c r="A117" s="31">
        <v>62</v>
      </c>
      <c r="B117" s="74" t="s">
        <v>416</v>
      </c>
      <c r="C117" s="74" t="s">
        <v>46</v>
      </c>
      <c r="D117" s="74" t="s">
        <v>643</v>
      </c>
      <c r="E117" s="74" t="s">
        <v>65</v>
      </c>
      <c r="F117" s="74">
        <v>2018</v>
      </c>
      <c r="G117" s="74">
        <v>25</v>
      </c>
      <c r="H117" s="75"/>
      <c r="I117" s="75">
        <v>46383</v>
      </c>
      <c r="J117" s="28"/>
      <c r="K117" s="28"/>
      <c r="L117" s="22"/>
      <c r="M117" s="28">
        <v>169</v>
      </c>
      <c r="N117" s="28">
        <v>314.11</v>
      </c>
      <c r="O117" s="28">
        <f t="shared" si="3"/>
        <v>145.11000000000001</v>
      </c>
      <c r="P117" s="28"/>
      <c r="Q117" s="24"/>
      <c r="R117" s="28"/>
    </row>
    <row r="118" spans="1:18" ht="15">
      <c r="A118" s="17">
        <v>63</v>
      </c>
      <c r="B118" s="85" t="s">
        <v>424</v>
      </c>
      <c r="C118" s="85" t="s">
        <v>46</v>
      </c>
      <c r="D118" s="85" t="s">
        <v>645</v>
      </c>
      <c r="E118" s="85" t="s">
        <v>65</v>
      </c>
      <c r="F118" s="85">
        <v>2020</v>
      </c>
      <c r="G118" s="85">
        <v>3</v>
      </c>
      <c r="H118" s="86"/>
      <c r="I118" s="86">
        <v>46382</v>
      </c>
      <c r="J118" s="28"/>
      <c r="K118" s="28"/>
      <c r="L118" s="22"/>
      <c r="M118" s="28"/>
      <c r="N118" s="28"/>
      <c r="O118" s="28"/>
      <c r="P118" s="28"/>
      <c r="Q118" s="24"/>
      <c r="R118" s="28"/>
    </row>
    <row r="119" spans="1:18" ht="15">
      <c r="A119" s="31">
        <v>64</v>
      </c>
      <c r="B119" s="74" t="s">
        <v>424</v>
      </c>
      <c r="C119" s="74" t="s">
        <v>46</v>
      </c>
      <c r="D119" s="74" t="s">
        <v>651</v>
      </c>
      <c r="E119" s="74" t="s">
        <v>65</v>
      </c>
      <c r="F119" s="74">
        <v>2020</v>
      </c>
      <c r="G119" s="74">
        <v>2</v>
      </c>
      <c r="H119" s="74"/>
      <c r="I119" s="74" t="s">
        <v>107</v>
      </c>
      <c r="J119" s="28"/>
      <c r="K119" s="28"/>
      <c r="L119" s="22"/>
      <c r="M119" s="28"/>
      <c r="N119" s="28"/>
      <c r="O119" s="28"/>
      <c r="P119" s="28"/>
      <c r="Q119" s="24"/>
      <c r="R119" s="28"/>
    </row>
    <row r="120" spans="1:18" ht="56">
      <c r="A120" s="31">
        <v>17</v>
      </c>
      <c r="B120" s="31" t="s">
        <v>442</v>
      </c>
      <c r="C120" s="31" t="s">
        <v>35</v>
      </c>
      <c r="D120" s="31" t="s">
        <v>653</v>
      </c>
      <c r="E120" s="31" t="s">
        <v>43</v>
      </c>
      <c r="F120" s="31">
        <v>2022</v>
      </c>
      <c r="G120" s="31">
        <v>17</v>
      </c>
      <c r="H120" s="31" t="s">
        <v>654</v>
      </c>
      <c r="I120" s="34">
        <v>46231</v>
      </c>
      <c r="J120" s="28" t="s">
        <v>656</v>
      </c>
      <c r="K120" s="41" t="s">
        <v>657</v>
      </c>
      <c r="L120" s="22" t="s">
        <v>22</v>
      </c>
      <c r="M120" s="28">
        <v>437.21</v>
      </c>
      <c r="N120" s="44">
        <v>1067.4523999999999</v>
      </c>
      <c r="O120" s="44">
        <f>N120-M120</f>
        <v>630.24239999999986</v>
      </c>
      <c r="P120" s="114" t="s">
        <v>660</v>
      </c>
      <c r="Q120" s="41"/>
      <c r="R120" s="41" t="s">
        <v>661</v>
      </c>
    </row>
    <row r="121" spans="1:18" ht="42">
      <c r="A121" s="31">
        <v>18</v>
      </c>
      <c r="B121" s="31" t="s">
        <v>442</v>
      </c>
      <c r="C121" s="31" t="s">
        <v>35</v>
      </c>
      <c r="D121" s="31" t="s">
        <v>662</v>
      </c>
      <c r="E121" s="31" t="s">
        <v>43</v>
      </c>
      <c r="F121" s="31">
        <v>2023</v>
      </c>
      <c r="G121" s="31">
        <v>25</v>
      </c>
      <c r="H121" s="34">
        <v>46080</v>
      </c>
      <c r="I121" s="34">
        <v>46081</v>
      </c>
      <c r="J121" s="28" t="s">
        <v>665</v>
      </c>
      <c r="K121" s="28" t="s">
        <v>666</v>
      </c>
      <c r="L121" s="22" t="s">
        <v>24</v>
      </c>
      <c r="M121" s="28">
        <v>410.46</v>
      </c>
      <c r="N121" s="28">
        <v>410.46</v>
      </c>
      <c r="O121" s="28" t="s">
        <v>86</v>
      </c>
      <c r="P121" s="28" t="s">
        <v>86</v>
      </c>
      <c r="Q121" s="41"/>
      <c r="R121" s="41" t="s">
        <v>667</v>
      </c>
    </row>
    <row r="122" spans="1:18" ht="112">
      <c r="A122" s="17">
        <v>22</v>
      </c>
      <c r="B122" s="17" t="s">
        <v>442</v>
      </c>
      <c r="C122" s="17" t="s">
        <v>49</v>
      </c>
      <c r="D122" s="17" t="s">
        <v>668</v>
      </c>
      <c r="E122" s="17" t="s">
        <v>57</v>
      </c>
      <c r="F122" s="17">
        <v>2023</v>
      </c>
      <c r="G122" s="17">
        <v>17</v>
      </c>
      <c r="H122" s="19">
        <v>46320</v>
      </c>
      <c r="I122" s="19">
        <v>46382</v>
      </c>
      <c r="J122" s="28" t="s">
        <v>670</v>
      </c>
      <c r="K122" s="41" t="s">
        <v>671</v>
      </c>
      <c r="L122" s="22" t="s">
        <v>183</v>
      </c>
      <c r="M122" s="28">
        <v>178.07</v>
      </c>
      <c r="N122" s="28">
        <v>198.07</v>
      </c>
      <c r="O122" s="28">
        <f>N122-M122</f>
        <v>20</v>
      </c>
      <c r="P122" s="28" t="s">
        <v>673</v>
      </c>
      <c r="Q122" s="28"/>
      <c r="R122" s="28" t="s">
        <v>674</v>
      </c>
    </row>
    <row r="123" spans="1:18" ht="14">
      <c r="A123" s="31">
        <v>23</v>
      </c>
      <c r="B123" s="31" t="s">
        <v>442</v>
      </c>
      <c r="C123" s="31" t="s">
        <v>49</v>
      </c>
      <c r="D123" s="31" t="s">
        <v>675</v>
      </c>
      <c r="E123" s="31" t="s">
        <v>43</v>
      </c>
      <c r="F123" s="31">
        <v>2022</v>
      </c>
      <c r="G123" s="31">
        <v>24</v>
      </c>
      <c r="H123" s="31" t="s">
        <v>676</v>
      </c>
      <c r="I123" s="34">
        <v>46200</v>
      </c>
      <c r="J123" s="28" t="s">
        <v>677</v>
      </c>
      <c r="K123" s="28" t="s">
        <v>678</v>
      </c>
      <c r="L123" s="22" t="s">
        <v>22</v>
      </c>
      <c r="M123" s="28">
        <v>349.93</v>
      </c>
      <c r="N123" s="28">
        <v>349.93</v>
      </c>
      <c r="O123" s="28">
        <v>0</v>
      </c>
      <c r="P123" s="28" t="s">
        <v>680</v>
      </c>
      <c r="Q123" s="41"/>
      <c r="R123" s="41" t="s">
        <v>681</v>
      </c>
    </row>
    <row r="124" spans="1:18" ht="14">
      <c r="A124" s="31">
        <v>24</v>
      </c>
      <c r="B124" s="31" t="s">
        <v>442</v>
      </c>
      <c r="C124" s="31" t="s">
        <v>49</v>
      </c>
      <c r="D124" s="31" t="s">
        <v>682</v>
      </c>
      <c r="E124" s="31" t="s">
        <v>43</v>
      </c>
      <c r="F124" s="31">
        <v>2023</v>
      </c>
      <c r="G124" s="31">
        <v>49</v>
      </c>
      <c r="H124" s="31" t="s">
        <v>683</v>
      </c>
      <c r="I124" s="34">
        <v>46200</v>
      </c>
      <c r="J124" s="28" t="s">
        <v>684</v>
      </c>
      <c r="K124" s="28" t="s">
        <v>678</v>
      </c>
      <c r="L124" s="22" t="s">
        <v>22</v>
      </c>
      <c r="M124" s="28">
        <v>670.17</v>
      </c>
      <c r="N124" s="28">
        <v>670.17</v>
      </c>
      <c r="O124" s="28">
        <v>0</v>
      </c>
      <c r="P124" s="28" t="s">
        <v>680</v>
      </c>
      <c r="Q124" s="41"/>
      <c r="R124" s="41" t="s">
        <v>681</v>
      </c>
    </row>
    <row r="125" spans="1:18" ht="28">
      <c r="A125" s="31">
        <v>25</v>
      </c>
      <c r="B125" s="31" t="s">
        <v>442</v>
      </c>
      <c r="C125" s="31" t="s">
        <v>49</v>
      </c>
      <c r="D125" s="31" t="s">
        <v>687</v>
      </c>
      <c r="E125" s="31" t="s">
        <v>43</v>
      </c>
      <c r="F125" s="31">
        <v>2022</v>
      </c>
      <c r="G125" s="31">
        <v>37</v>
      </c>
      <c r="H125" s="31" t="s">
        <v>688</v>
      </c>
      <c r="I125" s="34">
        <v>46200</v>
      </c>
      <c r="J125" s="28" t="s">
        <v>689</v>
      </c>
      <c r="K125" s="28" t="s">
        <v>690</v>
      </c>
      <c r="L125" s="22" t="s">
        <v>436</v>
      </c>
      <c r="M125" s="28">
        <v>461.91</v>
      </c>
      <c r="N125" s="28">
        <v>461.91</v>
      </c>
      <c r="O125" s="28">
        <v>0</v>
      </c>
      <c r="P125" s="28" t="s">
        <v>680</v>
      </c>
      <c r="Q125" s="41"/>
      <c r="R125" s="41" t="s">
        <v>681</v>
      </c>
    </row>
    <row r="126" spans="1:18" ht="28">
      <c r="A126" s="49">
        <v>26</v>
      </c>
      <c r="B126" s="49" t="s">
        <v>442</v>
      </c>
      <c r="C126" s="49" t="s">
        <v>49</v>
      </c>
      <c r="D126" s="49" t="s">
        <v>694</v>
      </c>
      <c r="E126" s="49" t="s">
        <v>43</v>
      </c>
      <c r="F126" s="49">
        <v>2022</v>
      </c>
      <c r="G126" s="49">
        <v>23</v>
      </c>
      <c r="H126" s="31" t="s">
        <v>688</v>
      </c>
      <c r="I126" s="50">
        <v>46200</v>
      </c>
      <c r="J126" s="28" t="s">
        <v>689</v>
      </c>
      <c r="K126" s="28" t="s">
        <v>690</v>
      </c>
      <c r="L126" s="22" t="s">
        <v>436</v>
      </c>
      <c r="M126" s="44">
        <v>307.11610000000002</v>
      </c>
      <c r="N126" s="44">
        <v>307.11610000000002</v>
      </c>
      <c r="O126" s="28">
        <v>0</v>
      </c>
      <c r="P126" s="28" t="s">
        <v>680</v>
      </c>
      <c r="Q126" s="41"/>
      <c r="R126" s="41" t="s">
        <v>681</v>
      </c>
    </row>
    <row r="127" spans="1:18" ht="14">
      <c r="A127" s="49">
        <v>27</v>
      </c>
      <c r="B127" s="49" t="s">
        <v>442</v>
      </c>
      <c r="C127" s="49" t="s">
        <v>49</v>
      </c>
      <c r="D127" s="49" t="s">
        <v>696</v>
      </c>
      <c r="E127" s="49" t="s">
        <v>57</v>
      </c>
      <c r="F127" s="49">
        <v>2023</v>
      </c>
      <c r="G127" s="49">
        <v>18</v>
      </c>
      <c r="H127" s="49" t="s">
        <v>699</v>
      </c>
      <c r="I127" s="50">
        <v>46385</v>
      </c>
      <c r="J127" s="28" t="s">
        <v>700</v>
      </c>
      <c r="K127" s="28" t="s">
        <v>678</v>
      </c>
      <c r="L127" s="22" t="s">
        <v>22</v>
      </c>
      <c r="M127" s="28">
        <v>246.43</v>
      </c>
      <c r="N127" s="28">
        <v>246.43</v>
      </c>
      <c r="O127" s="28">
        <v>0</v>
      </c>
      <c r="P127" s="28" t="s">
        <v>680</v>
      </c>
      <c r="Q127" s="41"/>
      <c r="R127" s="41" t="s">
        <v>701</v>
      </c>
    </row>
    <row r="128" spans="1:18" ht="28">
      <c r="A128" s="49">
        <v>28</v>
      </c>
      <c r="B128" s="49" t="s">
        <v>442</v>
      </c>
      <c r="C128" s="49" t="s">
        <v>49</v>
      </c>
      <c r="D128" s="49" t="s">
        <v>702</v>
      </c>
      <c r="E128" s="49" t="s">
        <v>57</v>
      </c>
      <c r="F128" s="49">
        <v>2023</v>
      </c>
      <c r="G128" s="49">
        <v>37</v>
      </c>
      <c r="H128" s="49" t="s">
        <v>704</v>
      </c>
      <c r="I128" s="50">
        <v>46111</v>
      </c>
      <c r="J128" s="28" t="s">
        <v>705</v>
      </c>
      <c r="K128" s="28" t="s">
        <v>706</v>
      </c>
      <c r="L128" s="22" t="s">
        <v>22</v>
      </c>
      <c r="M128" s="28">
        <v>449.91</v>
      </c>
      <c r="N128" s="28">
        <v>449.91</v>
      </c>
      <c r="O128" s="28">
        <v>0</v>
      </c>
      <c r="P128" s="28" t="s">
        <v>680</v>
      </c>
      <c r="Q128" s="41"/>
      <c r="R128" s="41" t="s">
        <v>707</v>
      </c>
    </row>
    <row r="129" spans="1:18" ht="28">
      <c r="A129" s="49">
        <v>29</v>
      </c>
      <c r="B129" s="49" t="s">
        <v>442</v>
      </c>
      <c r="C129" s="49" t="s">
        <v>49</v>
      </c>
      <c r="D129" s="49" t="s">
        <v>708</v>
      </c>
      <c r="E129" s="49" t="s">
        <v>57</v>
      </c>
      <c r="F129" s="49">
        <v>2023</v>
      </c>
      <c r="G129" s="49">
        <v>26</v>
      </c>
      <c r="H129" s="49" t="s">
        <v>709</v>
      </c>
      <c r="I129" s="50">
        <v>46384</v>
      </c>
      <c r="J129" s="28" t="s">
        <v>710</v>
      </c>
      <c r="K129" s="28" t="s">
        <v>678</v>
      </c>
      <c r="L129" s="22" t="s">
        <v>22</v>
      </c>
      <c r="M129" s="28">
        <v>318.44</v>
      </c>
      <c r="N129" s="28">
        <v>318.44</v>
      </c>
      <c r="O129" s="28">
        <v>0</v>
      </c>
      <c r="P129" s="28" t="s">
        <v>680</v>
      </c>
      <c r="Q129" s="41"/>
      <c r="R129" s="41" t="s">
        <v>712</v>
      </c>
    </row>
    <row r="130" spans="1:18" ht="98">
      <c r="A130" s="49">
        <v>30</v>
      </c>
      <c r="B130" s="49" t="s">
        <v>442</v>
      </c>
      <c r="C130" s="49" t="s">
        <v>49</v>
      </c>
      <c r="D130" s="49" t="s">
        <v>713</v>
      </c>
      <c r="E130" s="49" t="s">
        <v>57</v>
      </c>
      <c r="F130" s="49">
        <v>2023</v>
      </c>
      <c r="G130" s="49">
        <v>70</v>
      </c>
      <c r="H130" s="49" t="s">
        <v>714</v>
      </c>
      <c r="I130" s="50">
        <v>46110</v>
      </c>
      <c r="J130" s="28" t="s">
        <v>715</v>
      </c>
      <c r="K130" s="28" t="s">
        <v>716</v>
      </c>
      <c r="L130" s="22" t="s">
        <v>22</v>
      </c>
      <c r="M130" s="28">
        <v>467.58</v>
      </c>
      <c r="N130" s="28">
        <v>467.58</v>
      </c>
      <c r="O130" s="28">
        <v>0</v>
      </c>
      <c r="P130" s="28" t="s">
        <v>680</v>
      </c>
      <c r="Q130" s="41"/>
      <c r="R130" s="41" t="s">
        <v>720</v>
      </c>
    </row>
    <row r="131" spans="1:18" ht="42">
      <c r="A131" s="17">
        <v>65</v>
      </c>
      <c r="B131" s="85" t="s">
        <v>442</v>
      </c>
      <c r="C131" s="85" t="s">
        <v>46</v>
      </c>
      <c r="D131" s="85" t="s">
        <v>722</v>
      </c>
      <c r="E131" s="85" t="s">
        <v>494</v>
      </c>
      <c r="F131" s="85">
        <v>2021</v>
      </c>
      <c r="G131" s="85">
        <v>111</v>
      </c>
      <c r="H131" s="86">
        <v>46138</v>
      </c>
      <c r="I131" s="86">
        <v>46382</v>
      </c>
      <c r="J131" s="28" t="s">
        <v>723</v>
      </c>
      <c r="K131" s="28" t="s">
        <v>106</v>
      </c>
      <c r="L131" s="22" t="s">
        <v>22</v>
      </c>
      <c r="M131" s="28">
        <v>1080.57</v>
      </c>
      <c r="N131" s="28">
        <v>1205.17</v>
      </c>
      <c r="O131" s="28">
        <f t="shared" ref="O131:O132" si="4">N131-M131</f>
        <v>124.60000000000014</v>
      </c>
      <c r="P131" s="28" t="s">
        <v>724</v>
      </c>
      <c r="Q131" s="28"/>
      <c r="R131" s="28" t="s">
        <v>329</v>
      </c>
    </row>
    <row r="132" spans="1:18" ht="56">
      <c r="A132" s="31">
        <v>80</v>
      </c>
      <c r="B132" s="31" t="s">
        <v>442</v>
      </c>
      <c r="C132" s="31" t="s">
        <v>46</v>
      </c>
      <c r="D132" s="31" t="s">
        <v>726</v>
      </c>
      <c r="E132" s="31" t="s">
        <v>43</v>
      </c>
      <c r="F132" s="31">
        <v>2023</v>
      </c>
      <c r="G132" s="31">
        <v>38</v>
      </c>
      <c r="H132" s="34">
        <v>46108</v>
      </c>
      <c r="I132" s="34">
        <v>46231</v>
      </c>
      <c r="J132" s="28" t="s">
        <v>727</v>
      </c>
      <c r="K132" s="41" t="s">
        <v>657</v>
      </c>
      <c r="L132" s="22" t="s">
        <v>22</v>
      </c>
      <c r="M132" s="28">
        <v>961.67</v>
      </c>
      <c r="N132" s="28">
        <v>2402.7125999999998</v>
      </c>
      <c r="O132" s="28">
        <f t="shared" si="4"/>
        <v>1441.0425999999998</v>
      </c>
      <c r="P132" s="114" t="s">
        <v>660</v>
      </c>
      <c r="Q132" s="28"/>
      <c r="R132" s="28" t="s">
        <v>674</v>
      </c>
    </row>
    <row r="133" spans="1:18" ht="28">
      <c r="A133" s="35">
        <v>86</v>
      </c>
      <c r="B133" s="63" t="s">
        <v>442</v>
      </c>
      <c r="C133" s="63" t="s">
        <v>46</v>
      </c>
      <c r="D133" s="63" t="s">
        <v>730</v>
      </c>
      <c r="E133" s="63" t="s">
        <v>43</v>
      </c>
      <c r="F133" s="63">
        <v>2023</v>
      </c>
      <c r="G133" s="63">
        <v>1</v>
      </c>
      <c r="H133" s="36">
        <v>46107</v>
      </c>
      <c r="I133" s="65">
        <v>46382</v>
      </c>
      <c r="J133" s="28" t="s">
        <v>731</v>
      </c>
      <c r="K133" s="41" t="s">
        <v>733</v>
      </c>
      <c r="L133" s="22" t="s">
        <v>22</v>
      </c>
      <c r="M133" s="28">
        <v>15.25</v>
      </c>
      <c r="N133" s="28">
        <v>15.25</v>
      </c>
      <c r="O133" s="28" t="s">
        <v>72</v>
      </c>
      <c r="P133" s="28" t="s">
        <v>72</v>
      </c>
      <c r="Q133" s="28"/>
      <c r="R133" s="28" t="s">
        <v>329</v>
      </c>
    </row>
    <row r="134" spans="1:18" ht="28">
      <c r="A134" s="23">
        <v>87</v>
      </c>
      <c r="B134" s="49" t="s">
        <v>442</v>
      </c>
      <c r="C134" s="49" t="s">
        <v>46</v>
      </c>
      <c r="D134" s="49" t="s">
        <v>735</v>
      </c>
      <c r="E134" s="49" t="s">
        <v>43</v>
      </c>
      <c r="F134" s="49">
        <v>2024</v>
      </c>
      <c r="G134" s="49">
        <v>2</v>
      </c>
      <c r="H134" s="117"/>
      <c r="I134" s="50">
        <v>46353</v>
      </c>
      <c r="J134" s="28" t="s">
        <v>737</v>
      </c>
      <c r="K134" s="28" t="s">
        <v>738</v>
      </c>
      <c r="L134" s="22"/>
      <c r="M134" s="28">
        <v>42.917499999999997</v>
      </c>
      <c r="N134" s="28">
        <v>42.917499999999997</v>
      </c>
      <c r="O134" s="28">
        <v>0</v>
      </c>
      <c r="P134" s="28" t="s">
        <v>741</v>
      </c>
      <c r="Q134" s="24" t="s">
        <v>265</v>
      </c>
      <c r="R134" s="28" t="s">
        <v>329</v>
      </c>
    </row>
    <row r="135" spans="1:18" ht="42">
      <c r="A135" s="23">
        <v>107</v>
      </c>
      <c r="B135" s="23" t="s">
        <v>442</v>
      </c>
      <c r="C135" s="23" t="s">
        <v>46</v>
      </c>
      <c r="D135" s="23" t="s">
        <v>743</v>
      </c>
      <c r="E135" s="23" t="s">
        <v>57</v>
      </c>
      <c r="F135" s="23">
        <v>2023</v>
      </c>
      <c r="G135" s="23">
        <v>6</v>
      </c>
      <c r="H135" s="23" t="s">
        <v>709</v>
      </c>
      <c r="I135" s="26">
        <v>46110</v>
      </c>
      <c r="J135" s="28" t="s">
        <v>744</v>
      </c>
      <c r="K135" s="41" t="s">
        <v>745</v>
      </c>
      <c r="L135" s="22" t="s">
        <v>22</v>
      </c>
      <c r="M135" s="28">
        <v>175.99</v>
      </c>
      <c r="N135" s="28">
        <v>175.99</v>
      </c>
      <c r="O135" s="28">
        <v>0</v>
      </c>
      <c r="P135" s="28" t="s">
        <v>72</v>
      </c>
      <c r="Q135" s="41"/>
      <c r="R135" s="41" t="s">
        <v>747</v>
      </c>
    </row>
    <row r="136" spans="1:18" ht="28">
      <c r="A136" s="23">
        <v>110</v>
      </c>
      <c r="B136" s="23" t="s">
        <v>442</v>
      </c>
      <c r="C136" s="23" t="s">
        <v>46</v>
      </c>
      <c r="D136" s="23" t="s">
        <v>748</v>
      </c>
      <c r="E136" s="23" t="s">
        <v>57</v>
      </c>
      <c r="F136" s="23">
        <v>2023</v>
      </c>
      <c r="G136" s="23">
        <v>53</v>
      </c>
      <c r="H136" s="23" t="s">
        <v>749</v>
      </c>
      <c r="I136" s="26">
        <v>46383</v>
      </c>
      <c r="J136" s="28" t="s">
        <v>750</v>
      </c>
      <c r="K136" s="41" t="s">
        <v>751</v>
      </c>
      <c r="L136" s="22" t="s">
        <v>22</v>
      </c>
      <c r="M136" s="28">
        <v>1429.56</v>
      </c>
      <c r="N136" s="28">
        <v>1429.56</v>
      </c>
      <c r="O136" s="28">
        <v>0</v>
      </c>
      <c r="P136" s="28" t="s">
        <v>72</v>
      </c>
      <c r="Q136" s="41"/>
      <c r="R136" s="41" t="s">
        <v>754</v>
      </c>
    </row>
    <row r="137" spans="1:18" ht="28">
      <c r="A137" s="31">
        <v>124</v>
      </c>
      <c r="B137" s="23" t="s">
        <v>442</v>
      </c>
      <c r="C137" s="23" t="s">
        <v>46</v>
      </c>
      <c r="D137" s="23" t="s">
        <v>755</v>
      </c>
      <c r="E137" s="23" t="s">
        <v>57</v>
      </c>
      <c r="F137" s="23">
        <v>2024</v>
      </c>
      <c r="G137" s="23">
        <v>33</v>
      </c>
      <c r="H137" s="23" t="s">
        <v>756</v>
      </c>
      <c r="I137" s="26">
        <v>46384</v>
      </c>
      <c r="J137" s="28" t="s">
        <v>757</v>
      </c>
      <c r="K137" s="41" t="s">
        <v>758</v>
      </c>
      <c r="L137" s="22" t="s">
        <v>22</v>
      </c>
      <c r="M137" s="28">
        <v>394.14</v>
      </c>
      <c r="N137" s="28">
        <v>394.14</v>
      </c>
      <c r="O137" s="28">
        <v>0</v>
      </c>
      <c r="P137" s="28" t="s">
        <v>72</v>
      </c>
      <c r="Q137" s="28"/>
      <c r="R137" s="28" t="s">
        <v>759</v>
      </c>
    </row>
    <row r="138" spans="1:18" ht="13">
      <c r="L138" s="87"/>
    </row>
    <row r="139" spans="1:18" ht="13">
      <c r="L139" s="87"/>
    </row>
    <row r="140" spans="1:18" ht="13">
      <c r="L140" s="87"/>
    </row>
    <row r="141" spans="1:18" ht="13">
      <c r="L141" s="87"/>
    </row>
    <row r="142" spans="1:18" ht="13">
      <c r="F142" s="32" t="s">
        <v>464</v>
      </c>
      <c r="G142" s="32">
        <v>93</v>
      </c>
      <c r="L142" s="87"/>
    </row>
    <row r="143" spans="1:18" ht="13">
      <c r="L143" s="87"/>
    </row>
    <row r="144" spans="1:18" ht="13">
      <c r="L144" s="87"/>
    </row>
    <row r="145" spans="12:12" ht="13">
      <c r="L145" s="87"/>
    </row>
    <row r="146" spans="12:12" ht="13">
      <c r="L146" s="87"/>
    </row>
    <row r="147" spans="12:12" ht="13">
      <c r="L147" s="87"/>
    </row>
    <row r="148" spans="12:12" ht="13">
      <c r="L148" s="87"/>
    </row>
    <row r="149" spans="12:12" ht="13">
      <c r="L149" s="87"/>
    </row>
    <row r="150" spans="12:12" ht="13">
      <c r="L150" s="87"/>
    </row>
    <row r="151" spans="12:12" ht="13">
      <c r="L151" s="87"/>
    </row>
    <row r="152" spans="12:12" ht="13">
      <c r="L152" s="87"/>
    </row>
    <row r="153" spans="12:12" ht="13">
      <c r="L153" s="87"/>
    </row>
    <row r="154" spans="12:12" ht="13">
      <c r="L154" s="87"/>
    </row>
    <row r="155" spans="12:12" ht="13">
      <c r="L155" s="87"/>
    </row>
    <row r="156" spans="12:12" ht="13">
      <c r="L156" s="87"/>
    </row>
    <row r="157" spans="12:12" ht="13">
      <c r="L157" s="87"/>
    </row>
    <row r="158" spans="12:12" ht="13">
      <c r="L158" s="87"/>
    </row>
    <row r="159" spans="12:12" ht="13">
      <c r="L159" s="87"/>
    </row>
    <row r="160" spans="12:12" ht="13">
      <c r="L160" s="87"/>
    </row>
    <row r="161" spans="12:12" ht="13">
      <c r="L161" s="87"/>
    </row>
    <row r="162" spans="12:12" ht="13">
      <c r="L162" s="87"/>
    </row>
    <row r="163" spans="12:12" ht="13">
      <c r="L163" s="87"/>
    </row>
    <row r="164" spans="12:12" ht="13">
      <c r="L164" s="87"/>
    </row>
    <row r="165" spans="12:12" ht="13">
      <c r="L165" s="87"/>
    </row>
    <row r="166" spans="12:12" ht="13">
      <c r="L166" s="87"/>
    </row>
    <row r="167" spans="12:12" ht="13">
      <c r="L167" s="87"/>
    </row>
    <row r="168" spans="12:12" ht="13">
      <c r="L168" s="87"/>
    </row>
    <row r="169" spans="12:12" ht="13">
      <c r="L169" s="87"/>
    </row>
    <row r="170" spans="12:12" ht="13">
      <c r="L170" s="87"/>
    </row>
    <row r="171" spans="12:12" ht="13">
      <c r="L171" s="87"/>
    </row>
    <row r="172" spans="12:12" ht="13">
      <c r="L172" s="87"/>
    </row>
    <row r="173" spans="12:12" ht="13">
      <c r="L173" s="87"/>
    </row>
    <row r="174" spans="12:12" ht="13">
      <c r="L174" s="87"/>
    </row>
    <row r="175" spans="12:12" ht="13">
      <c r="L175" s="87"/>
    </row>
    <row r="176" spans="12:12" ht="13">
      <c r="L176" s="87"/>
    </row>
    <row r="177" spans="12:12" ht="13">
      <c r="L177" s="87"/>
    </row>
    <row r="178" spans="12:12" ht="13">
      <c r="L178" s="87"/>
    </row>
    <row r="179" spans="12:12" ht="13">
      <c r="L179" s="87"/>
    </row>
    <row r="180" spans="12:12" ht="13">
      <c r="L180" s="87"/>
    </row>
    <row r="181" spans="12:12" ht="13">
      <c r="L181" s="87"/>
    </row>
    <row r="182" spans="12:12" ht="13">
      <c r="L182" s="87"/>
    </row>
    <row r="183" spans="12:12" ht="13">
      <c r="L183" s="87"/>
    </row>
    <row r="184" spans="12:12" ht="13">
      <c r="L184" s="87"/>
    </row>
    <row r="185" spans="12:12" ht="13">
      <c r="L185" s="87"/>
    </row>
    <row r="186" spans="12:12" ht="13">
      <c r="L186" s="87"/>
    </row>
    <row r="187" spans="12:12" ht="13">
      <c r="L187" s="87"/>
    </row>
    <row r="188" spans="12:12" ht="13">
      <c r="L188" s="87"/>
    </row>
    <row r="189" spans="12:12" ht="13">
      <c r="L189" s="87"/>
    </row>
    <row r="190" spans="12:12" ht="13">
      <c r="L190" s="87"/>
    </row>
    <row r="191" spans="12:12" ht="13">
      <c r="L191" s="87"/>
    </row>
    <row r="192" spans="12:12" ht="13">
      <c r="L192" s="87"/>
    </row>
    <row r="193" spans="12:12" ht="13">
      <c r="L193" s="87"/>
    </row>
    <row r="194" spans="12:12" ht="13">
      <c r="L194" s="87"/>
    </row>
    <row r="195" spans="12:12" ht="13">
      <c r="L195" s="87"/>
    </row>
    <row r="196" spans="12:12" ht="13">
      <c r="L196" s="87"/>
    </row>
    <row r="197" spans="12:12" ht="13">
      <c r="L197" s="87"/>
    </row>
    <row r="198" spans="12:12" ht="13">
      <c r="L198" s="87"/>
    </row>
    <row r="199" spans="12:12" ht="13">
      <c r="L199" s="87"/>
    </row>
    <row r="200" spans="12:12" ht="13">
      <c r="L200" s="87"/>
    </row>
    <row r="201" spans="12:12" ht="13">
      <c r="L201" s="87"/>
    </row>
    <row r="202" spans="12:12" ht="13">
      <c r="L202" s="87"/>
    </row>
    <row r="203" spans="12:12" ht="13">
      <c r="L203" s="87"/>
    </row>
    <row r="204" spans="12:12" ht="13">
      <c r="L204" s="87"/>
    </row>
    <row r="205" spans="12:12" ht="13">
      <c r="L205" s="87"/>
    </row>
    <row r="206" spans="12:12" ht="13">
      <c r="L206" s="87"/>
    </row>
    <row r="207" spans="12:12" ht="13">
      <c r="L207" s="87"/>
    </row>
    <row r="208" spans="12:12" ht="13">
      <c r="L208" s="87"/>
    </row>
    <row r="209" spans="12:12" ht="13">
      <c r="L209" s="87"/>
    </row>
    <row r="210" spans="12:12" ht="13">
      <c r="L210" s="87"/>
    </row>
    <row r="211" spans="12:12" ht="13">
      <c r="L211" s="87"/>
    </row>
    <row r="212" spans="12:12" ht="13">
      <c r="L212" s="87"/>
    </row>
    <row r="213" spans="12:12" ht="13">
      <c r="L213" s="87"/>
    </row>
    <row r="214" spans="12:12" ht="13">
      <c r="L214" s="87"/>
    </row>
    <row r="215" spans="12:12" ht="13">
      <c r="L215" s="87"/>
    </row>
    <row r="216" spans="12:12" ht="13">
      <c r="L216" s="87"/>
    </row>
    <row r="217" spans="12:12" ht="13">
      <c r="L217" s="87"/>
    </row>
    <row r="218" spans="12:12" ht="13">
      <c r="L218" s="87"/>
    </row>
    <row r="219" spans="12:12" ht="13">
      <c r="L219" s="87"/>
    </row>
    <row r="220" spans="12:12" ht="13">
      <c r="L220" s="87"/>
    </row>
    <row r="221" spans="12:12" ht="13">
      <c r="L221" s="87"/>
    </row>
    <row r="222" spans="12:12" ht="13">
      <c r="L222" s="87"/>
    </row>
    <row r="223" spans="12:12" ht="13">
      <c r="L223" s="87"/>
    </row>
    <row r="224" spans="12:12" ht="13">
      <c r="L224" s="87"/>
    </row>
    <row r="225" spans="12:12" ht="13">
      <c r="L225" s="87"/>
    </row>
    <row r="226" spans="12:12" ht="13">
      <c r="L226" s="87"/>
    </row>
    <row r="227" spans="12:12" ht="13">
      <c r="L227" s="87"/>
    </row>
    <row r="228" spans="12:12" ht="13">
      <c r="L228" s="87"/>
    </row>
    <row r="229" spans="12:12" ht="13">
      <c r="L229" s="87"/>
    </row>
    <row r="230" spans="12:12" ht="13">
      <c r="L230" s="87"/>
    </row>
    <row r="231" spans="12:12" ht="13">
      <c r="L231" s="87"/>
    </row>
    <row r="232" spans="12:12" ht="13">
      <c r="L232" s="87"/>
    </row>
    <row r="233" spans="12:12" ht="13">
      <c r="L233" s="87"/>
    </row>
    <row r="234" spans="12:12" ht="13">
      <c r="L234" s="87"/>
    </row>
    <row r="235" spans="12:12" ht="13">
      <c r="L235" s="87"/>
    </row>
    <row r="236" spans="12:12" ht="13">
      <c r="L236" s="87"/>
    </row>
    <row r="237" spans="12:12" ht="13">
      <c r="L237" s="87"/>
    </row>
    <row r="238" spans="12:12" ht="13">
      <c r="L238" s="87"/>
    </row>
    <row r="239" spans="12:12" ht="13">
      <c r="L239" s="87"/>
    </row>
    <row r="240" spans="12:12" ht="13">
      <c r="L240" s="87"/>
    </row>
    <row r="241" spans="12:12" ht="13">
      <c r="L241" s="87"/>
    </row>
    <row r="242" spans="12:12" ht="13">
      <c r="L242" s="87"/>
    </row>
    <row r="243" spans="12:12" ht="13">
      <c r="L243" s="87"/>
    </row>
    <row r="244" spans="12:12" ht="13">
      <c r="L244" s="87"/>
    </row>
    <row r="245" spans="12:12" ht="13">
      <c r="L245" s="87"/>
    </row>
    <row r="246" spans="12:12" ht="13">
      <c r="L246" s="87"/>
    </row>
    <row r="247" spans="12:12" ht="13">
      <c r="L247" s="87"/>
    </row>
    <row r="248" spans="12:12" ht="13">
      <c r="L248" s="87"/>
    </row>
    <row r="249" spans="12:12" ht="13">
      <c r="L249" s="87"/>
    </row>
    <row r="250" spans="12:12" ht="13">
      <c r="L250" s="87"/>
    </row>
    <row r="251" spans="12:12" ht="13">
      <c r="L251" s="87"/>
    </row>
    <row r="252" spans="12:12" ht="13">
      <c r="L252" s="87"/>
    </row>
    <row r="253" spans="12:12" ht="13">
      <c r="L253" s="87"/>
    </row>
    <row r="254" spans="12:12" ht="13">
      <c r="L254" s="87"/>
    </row>
    <row r="255" spans="12:12" ht="13">
      <c r="L255" s="87"/>
    </row>
    <row r="256" spans="12:12" ht="13">
      <c r="L256" s="87"/>
    </row>
    <row r="257" spans="12:12" ht="13">
      <c r="L257" s="87"/>
    </row>
    <row r="258" spans="12:12" ht="13">
      <c r="L258" s="87"/>
    </row>
    <row r="259" spans="12:12" ht="13">
      <c r="L259" s="87"/>
    </row>
    <row r="260" spans="12:12" ht="13">
      <c r="L260" s="87"/>
    </row>
    <row r="261" spans="12:12" ht="13">
      <c r="L261" s="87"/>
    </row>
    <row r="262" spans="12:12" ht="13">
      <c r="L262" s="87"/>
    </row>
    <row r="263" spans="12:12" ht="13">
      <c r="L263" s="87"/>
    </row>
    <row r="264" spans="12:12" ht="13">
      <c r="L264" s="87"/>
    </row>
    <row r="265" spans="12:12" ht="13">
      <c r="L265" s="87"/>
    </row>
    <row r="266" spans="12:12" ht="13">
      <c r="L266" s="87"/>
    </row>
    <row r="267" spans="12:12" ht="13">
      <c r="L267" s="87"/>
    </row>
    <row r="268" spans="12:12" ht="13">
      <c r="L268" s="87"/>
    </row>
    <row r="269" spans="12:12" ht="13">
      <c r="L269" s="87"/>
    </row>
    <row r="270" spans="12:12" ht="13">
      <c r="L270" s="87"/>
    </row>
    <row r="271" spans="12:12" ht="13">
      <c r="L271" s="87"/>
    </row>
    <row r="272" spans="12:12" ht="13">
      <c r="L272" s="87"/>
    </row>
    <row r="273" spans="12:12" ht="13">
      <c r="L273" s="87"/>
    </row>
    <row r="274" spans="12:12" ht="13">
      <c r="L274" s="87"/>
    </row>
    <row r="275" spans="12:12" ht="13">
      <c r="L275" s="87"/>
    </row>
    <row r="276" spans="12:12" ht="13">
      <c r="L276" s="87"/>
    </row>
    <row r="277" spans="12:12" ht="13">
      <c r="L277" s="87"/>
    </row>
    <row r="278" spans="12:12" ht="13">
      <c r="L278" s="87"/>
    </row>
    <row r="279" spans="12:12" ht="13">
      <c r="L279" s="87"/>
    </row>
    <row r="280" spans="12:12" ht="13">
      <c r="L280" s="87"/>
    </row>
    <row r="281" spans="12:12" ht="13">
      <c r="L281" s="87"/>
    </row>
    <row r="282" spans="12:12" ht="13">
      <c r="L282" s="87"/>
    </row>
    <row r="283" spans="12:12" ht="13">
      <c r="L283" s="87"/>
    </row>
    <row r="284" spans="12:12" ht="13">
      <c r="L284" s="87"/>
    </row>
    <row r="285" spans="12:12" ht="13">
      <c r="L285" s="87"/>
    </row>
    <row r="286" spans="12:12" ht="13">
      <c r="L286" s="87"/>
    </row>
    <row r="287" spans="12:12" ht="13">
      <c r="L287" s="87"/>
    </row>
    <row r="288" spans="12:12" ht="13">
      <c r="L288" s="87"/>
    </row>
    <row r="289" spans="12:12" ht="13">
      <c r="L289" s="87"/>
    </row>
    <row r="290" spans="12:12" ht="13">
      <c r="L290" s="87"/>
    </row>
    <row r="291" spans="12:12" ht="13">
      <c r="L291" s="87"/>
    </row>
    <row r="292" spans="12:12" ht="13">
      <c r="L292" s="87"/>
    </row>
    <row r="293" spans="12:12" ht="13">
      <c r="L293" s="87"/>
    </row>
    <row r="294" spans="12:12" ht="13">
      <c r="L294" s="87"/>
    </row>
    <row r="295" spans="12:12" ht="13">
      <c r="L295" s="87"/>
    </row>
    <row r="296" spans="12:12" ht="13">
      <c r="L296" s="87"/>
    </row>
    <row r="297" spans="12:12" ht="13">
      <c r="L297" s="87"/>
    </row>
    <row r="298" spans="12:12" ht="13">
      <c r="L298" s="87"/>
    </row>
    <row r="299" spans="12:12" ht="13">
      <c r="L299" s="87"/>
    </row>
    <row r="300" spans="12:12" ht="13">
      <c r="L300" s="87"/>
    </row>
    <row r="301" spans="12:12" ht="13">
      <c r="L301" s="87"/>
    </row>
    <row r="302" spans="12:12" ht="13">
      <c r="L302" s="87"/>
    </row>
    <row r="303" spans="12:12" ht="13">
      <c r="L303" s="87"/>
    </row>
    <row r="304" spans="12:12" ht="13">
      <c r="L304" s="87"/>
    </row>
    <row r="305" spans="12:12" ht="13">
      <c r="L305" s="87"/>
    </row>
    <row r="306" spans="12:12" ht="13">
      <c r="L306" s="87"/>
    </row>
    <row r="307" spans="12:12" ht="13">
      <c r="L307" s="87"/>
    </row>
    <row r="308" spans="12:12" ht="13">
      <c r="L308" s="87"/>
    </row>
    <row r="309" spans="12:12" ht="13">
      <c r="L309" s="87"/>
    </row>
    <row r="310" spans="12:12" ht="13">
      <c r="L310" s="87"/>
    </row>
    <row r="311" spans="12:12" ht="13">
      <c r="L311" s="87"/>
    </row>
    <row r="312" spans="12:12" ht="13">
      <c r="L312" s="87"/>
    </row>
    <row r="313" spans="12:12" ht="13">
      <c r="L313" s="87"/>
    </row>
    <row r="314" spans="12:12" ht="13">
      <c r="L314" s="87"/>
    </row>
    <row r="315" spans="12:12" ht="13">
      <c r="L315" s="87"/>
    </row>
    <row r="316" spans="12:12" ht="13">
      <c r="L316" s="87"/>
    </row>
    <row r="317" spans="12:12" ht="13">
      <c r="L317" s="87"/>
    </row>
    <row r="318" spans="12:12" ht="13">
      <c r="L318" s="87"/>
    </row>
    <row r="319" spans="12:12" ht="13">
      <c r="L319" s="87"/>
    </row>
    <row r="320" spans="12:12" ht="13">
      <c r="L320" s="87"/>
    </row>
    <row r="321" spans="12:12" ht="13">
      <c r="L321" s="87"/>
    </row>
    <row r="322" spans="12:12" ht="13">
      <c r="L322" s="87"/>
    </row>
    <row r="323" spans="12:12" ht="13">
      <c r="L323" s="87"/>
    </row>
    <row r="324" spans="12:12" ht="13">
      <c r="L324" s="87"/>
    </row>
    <row r="325" spans="12:12" ht="13">
      <c r="L325" s="87"/>
    </row>
    <row r="326" spans="12:12" ht="13">
      <c r="L326" s="87"/>
    </row>
    <row r="327" spans="12:12" ht="13">
      <c r="L327" s="87"/>
    </row>
    <row r="328" spans="12:12" ht="13">
      <c r="L328" s="87"/>
    </row>
    <row r="329" spans="12:12" ht="13">
      <c r="L329" s="87"/>
    </row>
    <row r="330" spans="12:12" ht="13">
      <c r="L330" s="87"/>
    </row>
    <row r="331" spans="12:12" ht="13">
      <c r="L331" s="87"/>
    </row>
    <row r="332" spans="12:12" ht="13">
      <c r="L332" s="87"/>
    </row>
    <row r="333" spans="12:12" ht="13">
      <c r="L333" s="87"/>
    </row>
    <row r="334" spans="12:12" ht="13">
      <c r="L334" s="87"/>
    </row>
    <row r="335" spans="12:12" ht="13">
      <c r="L335" s="87"/>
    </row>
    <row r="336" spans="12:12" ht="13">
      <c r="L336" s="87"/>
    </row>
    <row r="337" spans="12:12" ht="13">
      <c r="L337" s="87"/>
    </row>
    <row r="338" spans="12:12" ht="13">
      <c r="L338" s="87"/>
    </row>
    <row r="339" spans="12:12" ht="13">
      <c r="L339" s="87"/>
    </row>
    <row r="340" spans="12:12" ht="13">
      <c r="L340" s="87"/>
    </row>
    <row r="341" spans="12:12" ht="13">
      <c r="L341" s="87"/>
    </row>
    <row r="342" spans="12:12" ht="13">
      <c r="L342" s="87"/>
    </row>
    <row r="343" spans="12:12" ht="13">
      <c r="L343" s="87"/>
    </row>
    <row r="344" spans="12:12" ht="13">
      <c r="L344" s="87"/>
    </row>
    <row r="345" spans="12:12" ht="13">
      <c r="L345" s="87"/>
    </row>
    <row r="346" spans="12:12" ht="13">
      <c r="L346" s="87"/>
    </row>
    <row r="347" spans="12:12" ht="13">
      <c r="L347" s="87"/>
    </row>
    <row r="348" spans="12:12" ht="13">
      <c r="L348" s="87"/>
    </row>
    <row r="349" spans="12:12" ht="13">
      <c r="L349" s="87"/>
    </row>
    <row r="350" spans="12:12" ht="13">
      <c r="L350" s="87"/>
    </row>
    <row r="351" spans="12:12" ht="13">
      <c r="L351" s="87"/>
    </row>
    <row r="352" spans="12:12" ht="13">
      <c r="L352" s="87"/>
    </row>
    <row r="353" spans="12:12" ht="13">
      <c r="L353" s="87"/>
    </row>
    <row r="354" spans="12:12" ht="13">
      <c r="L354" s="87"/>
    </row>
    <row r="355" spans="12:12" ht="13">
      <c r="L355" s="87"/>
    </row>
    <row r="356" spans="12:12" ht="13">
      <c r="L356" s="87"/>
    </row>
    <row r="357" spans="12:12" ht="13">
      <c r="L357" s="87"/>
    </row>
    <row r="358" spans="12:12" ht="13">
      <c r="L358" s="87"/>
    </row>
    <row r="359" spans="12:12" ht="13">
      <c r="L359" s="87"/>
    </row>
    <row r="360" spans="12:12" ht="13">
      <c r="L360" s="87"/>
    </row>
    <row r="361" spans="12:12" ht="13">
      <c r="L361" s="87"/>
    </row>
    <row r="362" spans="12:12" ht="13">
      <c r="L362" s="87"/>
    </row>
    <row r="363" spans="12:12" ht="13">
      <c r="L363" s="87"/>
    </row>
    <row r="364" spans="12:12" ht="13">
      <c r="L364" s="87"/>
    </row>
    <row r="365" spans="12:12" ht="13">
      <c r="L365" s="87"/>
    </row>
    <row r="366" spans="12:12" ht="13">
      <c r="L366" s="87"/>
    </row>
    <row r="367" spans="12:12" ht="13">
      <c r="L367" s="87"/>
    </row>
    <row r="368" spans="12:12" ht="13">
      <c r="L368" s="87"/>
    </row>
    <row r="369" spans="12:12" ht="13">
      <c r="L369" s="87"/>
    </row>
    <row r="370" spans="12:12" ht="13">
      <c r="L370" s="87"/>
    </row>
    <row r="371" spans="12:12" ht="13">
      <c r="L371" s="87"/>
    </row>
    <row r="372" spans="12:12" ht="13">
      <c r="L372" s="87"/>
    </row>
    <row r="373" spans="12:12" ht="13">
      <c r="L373" s="87"/>
    </row>
    <row r="374" spans="12:12" ht="13">
      <c r="L374" s="87"/>
    </row>
    <row r="375" spans="12:12" ht="13">
      <c r="L375" s="87"/>
    </row>
    <row r="376" spans="12:12" ht="13">
      <c r="L376" s="87"/>
    </row>
    <row r="377" spans="12:12" ht="13">
      <c r="L377" s="87"/>
    </row>
    <row r="378" spans="12:12" ht="13">
      <c r="L378" s="87"/>
    </row>
    <row r="379" spans="12:12" ht="13">
      <c r="L379" s="87"/>
    </row>
    <row r="380" spans="12:12" ht="13">
      <c r="L380" s="87"/>
    </row>
    <row r="381" spans="12:12" ht="13">
      <c r="L381" s="87"/>
    </row>
    <row r="382" spans="12:12" ht="13">
      <c r="L382" s="87"/>
    </row>
    <row r="383" spans="12:12" ht="13">
      <c r="L383" s="87"/>
    </row>
    <row r="384" spans="12:12" ht="13">
      <c r="L384" s="87"/>
    </row>
    <row r="385" spans="12:12" ht="13">
      <c r="L385" s="87"/>
    </row>
    <row r="386" spans="12:12" ht="13">
      <c r="L386" s="87"/>
    </row>
    <row r="387" spans="12:12" ht="13">
      <c r="L387" s="87"/>
    </row>
    <row r="388" spans="12:12" ht="13">
      <c r="L388" s="87"/>
    </row>
    <row r="389" spans="12:12" ht="13">
      <c r="L389" s="87"/>
    </row>
    <row r="390" spans="12:12" ht="13">
      <c r="L390" s="87"/>
    </row>
    <row r="391" spans="12:12" ht="13">
      <c r="L391" s="87"/>
    </row>
    <row r="392" spans="12:12" ht="13">
      <c r="L392" s="87"/>
    </row>
    <row r="393" spans="12:12" ht="13">
      <c r="L393" s="87"/>
    </row>
    <row r="394" spans="12:12" ht="13">
      <c r="L394" s="87"/>
    </row>
    <row r="395" spans="12:12" ht="13">
      <c r="L395" s="87"/>
    </row>
    <row r="396" spans="12:12" ht="13">
      <c r="L396" s="87"/>
    </row>
    <row r="397" spans="12:12" ht="13">
      <c r="L397" s="87"/>
    </row>
    <row r="398" spans="12:12" ht="13">
      <c r="L398" s="87"/>
    </row>
    <row r="399" spans="12:12" ht="13">
      <c r="L399" s="87"/>
    </row>
    <row r="400" spans="12:12" ht="13">
      <c r="L400" s="87"/>
    </row>
    <row r="401" spans="12:12" ht="13">
      <c r="L401" s="87"/>
    </row>
    <row r="402" spans="12:12" ht="13">
      <c r="L402" s="87"/>
    </row>
    <row r="403" spans="12:12" ht="13">
      <c r="L403" s="87"/>
    </row>
    <row r="404" spans="12:12" ht="13">
      <c r="L404" s="87"/>
    </row>
    <row r="405" spans="12:12" ht="13">
      <c r="L405" s="87"/>
    </row>
    <row r="406" spans="12:12" ht="13">
      <c r="L406" s="87"/>
    </row>
    <row r="407" spans="12:12" ht="13">
      <c r="L407" s="87"/>
    </row>
    <row r="408" spans="12:12" ht="13">
      <c r="L408" s="87"/>
    </row>
    <row r="409" spans="12:12" ht="13">
      <c r="L409" s="87"/>
    </row>
    <row r="410" spans="12:12" ht="13">
      <c r="L410" s="87"/>
    </row>
    <row r="411" spans="12:12" ht="13">
      <c r="L411" s="87"/>
    </row>
    <row r="412" spans="12:12" ht="13">
      <c r="L412" s="87"/>
    </row>
    <row r="413" spans="12:12" ht="13">
      <c r="L413" s="87"/>
    </row>
    <row r="414" spans="12:12" ht="13">
      <c r="L414" s="87"/>
    </row>
    <row r="415" spans="12:12" ht="13">
      <c r="L415" s="87"/>
    </row>
    <row r="416" spans="12:12" ht="13">
      <c r="L416" s="87"/>
    </row>
    <row r="417" spans="12:12" ht="13">
      <c r="L417" s="87"/>
    </row>
    <row r="418" spans="12:12" ht="13">
      <c r="L418" s="87"/>
    </row>
    <row r="419" spans="12:12" ht="13">
      <c r="L419" s="87"/>
    </row>
    <row r="420" spans="12:12" ht="13">
      <c r="L420" s="87"/>
    </row>
    <row r="421" spans="12:12" ht="13">
      <c r="L421" s="87"/>
    </row>
    <row r="422" spans="12:12" ht="13">
      <c r="L422" s="87"/>
    </row>
    <row r="423" spans="12:12" ht="13">
      <c r="L423" s="87"/>
    </row>
    <row r="424" spans="12:12" ht="13">
      <c r="L424" s="87"/>
    </row>
    <row r="425" spans="12:12" ht="13">
      <c r="L425" s="87"/>
    </row>
    <row r="426" spans="12:12" ht="13">
      <c r="L426" s="87"/>
    </row>
    <row r="427" spans="12:12" ht="13">
      <c r="L427" s="87"/>
    </row>
    <row r="428" spans="12:12" ht="13">
      <c r="L428" s="87"/>
    </row>
    <row r="429" spans="12:12" ht="13">
      <c r="L429" s="87"/>
    </row>
    <row r="430" spans="12:12" ht="13">
      <c r="L430" s="87"/>
    </row>
    <row r="431" spans="12:12" ht="13">
      <c r="L431" s="87"/>
    </row>
    <row r="432" spans="12:12" ht="13">
      <c r="L432" s="87"/>
    </row>
    <row r="433" spans="12:12" ht="13">
      <c r="L433" s="87"/>
    </row>
    <row r="434" spans="12:12" ht="13">
      <c r="L434" s="87"/>
    </row>
    <row r="435" spans="12:12" ht="13">
      <c r="L435" s="87"/>
    </row>
    <row r="436" spans="12:12" ht="13">
      <c r="L436" s="87"/>
    </row>
    <row r="437" spans="12:12" ht="13">
      <c r="L437" s="87"/>
    </row>
    <row r="438" spans="12:12" ht="13">
      <c r="L438" s="87"/>
    </row>
    <row r="439" spans="12:12" ht="13">
      <c r="L439" s="87"/>
    </row>
    <row r="440" spans="12:12" ht="13">
      <c r="L440" s="87"/>
    </row>
    <row r="441" spans="12:12" ht="13">
      <c r="L441" s="87"/>
    </row>
    <row r="442" spans="12:12" ht="13">
      <c r="L442" s="87"/>
    </row>
    <row r="443" spans="12:12" ht="13">
      <c r="L443" s="87"/>
    </row>
    <row r="444" spans="12:12" ht="13">
      <c r="L444" s="87"/>
    </row>
    <row r="445" spans="12:12" ht="13">
      <c r="L445" s="87"/>
    </row>
    <row r="446" spans="12:12" ht="13">
      <c r="L446" s="87"/>
    </row>
    <row r="447" spans="12:12" ht="13">
      <c r="L447" s="87"/>
    </row>
    <row r="448" spans="12:12" ht="13">
      <c r="L448" s="87"/>
    </row>
    <row r="449" spans="12:12" ht="13">
      <c r="L449" s="87"/>
    </row>
    <row r="450" spans="12:12" ht="13">
      <c r="L450" s="87"/>
    </row>
    <row r="451" spans="12:12" ht="13">
      <c r="L451" s="87"/>
    </row>
    <row r="452" spans="12:12" ht="13">
      <c r="L452" s="87"/>
    </row>
    <row r="453" spans="12:12" ht="13">
      <c r="L453" s="87"/>
    </row>
    <row r="454" spans="12:12" ht="13">
      <c r="L454" s="87"/>
    </row>
    <row r="455" spans="12:12" ht="13">
      <c r="L455" s="87"/>
    </row>
    <row r="456" spans="12:12" ht="13">
      <c r="L456" s="87"/>
    </row>
    <row r="457" spans="12:12" ht="13">
      <c r="L457" s="87"/>
    </row>
    <row r="458" spans="12:12" ht="13">
      <c r="L458" s="87"/>
    </row>
    <row r="459" spans="12:12" ht="13">
      <c r="L459" s="87"/>
    </row>
    <row r="460" spans="12:12" ht="13">
      <c r="L460" s="87"/>
    </row>
    <row r="461" spans="12:12" ht="13">
      <c r="L461" s="87"/>
    </row>
    <row r="462" spans="12:12" ht="13">
      <c r="L462" s="87"/>
    </row>
    <row r="463" spans="12:12" ht="13">
      <c r="L463" s="87"/>
    </row>
    <row r="464" spans="12:12" ht="13">
      <c r="L464" s="87"/>
    </row>
    <row r="465" spans="12:12" ht="13">
      <c r="L465" s="87"/>
    </row>
    <row r="466" spans="12:12" ht="13">
      <c r="L466" s="87"/>
    </row>
    <row r="467" spans="12:12" ht="13">
      <c r="L467" s="87"/>
    </row>
    <row r="468" spans="12:12" ht="13">
      <c r="L468" s="87"/>
    </row>
    <row r="469" spans="12:12" ht="13">
      <c r="L469" s="87"/>
    </row>
    <row r="470" spans="12:12" ht="13">
      <c r="L470" s="87"/>
    </row>
    <row r="471" spans="12:12" ht="13">
      <c r="L471" s="87"/>
    </row>
    <row r="472" spans="12:12" ht="13">
      <c r="L472" s="87"/>
    </row>
    <row r="473" spans="12:12" ht="13">
      <c r="L473" s="87"/>
    </row>
    <row r="474" spans="12:12" ht="13">
      <c r="L474" s="87"/>
    </row>
    <row r="475" spans="12:12" ht="13">
      <c r="L475" s="87"/>
    </row>
    <row r="476" spans="12:12" ht="13">
      <c r="L476" s="87"/>
    </row>
    <row r="477" spans="12:12" ht="13">
      <c r="L477" s="87"/>
    </row>
    <row r="478" spans="12:12" ht="13">
      <c r="L478" s="87"/>
    </row>
    <row r="479" spans="12:12" ht="13">
      <c r="L479" s="87"/>
    </row>
    <row r="480" spans="12:12" ht="13">
      <c r="L480" s="87"/>
    </row>
    <row r="481" spans="12:12" ht="13">
      <c r="L481" s="87"/>
    </row>
    <row r="482" spans="12:12" ht="13">
      <c r="L482" s="87"/>
    </row>
    <row r="483" spans="12:12" ht="13">
      <c r="L483" s="87"/>
    </row>
    <row r="484" spans="12:12" ht="13">
      <c r="L484" s="87"/>
    </row>
    <row r="485" spans="12:12" ht="13">
      <c r="L485" s="87"/>
    </row>
    <row r="486" spans="12:12" ht="13">
      <c r="L486" s="87"/>
    </row>
    <row r="487" spans="12:12" ht="13">
      <c r="L487" s="87"/>
    </row>
    <row r="488" spans="12:12" ht="13">
      <c r="L488" s="87"/>
    </row>
    <row r="489" spans="12:12" ht="13">
      <c r="L489" s="87"/>
    </row>
    <row r="490" spans="12:12" ht="13">
      <c r="L490" s="87"/>
    </row>
    <row r="491" spans="12:12" ht="13">
      <c r="L491" s="87"/>
    </row>
    <row r="492" spans="12:12" ht="13">
      <c r="L492" s="87"/>
    </row>
    <row r="493" spans="12:12" ht="13">
      <c r="L493" s="87"/>
    </row>
    <row r="494" spans="12:12" ht="13">
      <c r="L494" s="87"/>
    </row>
    <row r="495" spans="12:12" ht="13">
      <c r="L495" s="87"/>
    </row>
    <row r="496" spans="12:12" ht="13">
      <c r="L496" s="87"/>
    </row>
    <row r="497" spans="12:12" ht="13">
      <c r="L497" s="87"/>
    </row>
    <row r="498" spans="12:12" ht="13">
      <c r="L498" s="87"/>
    </row>
    <row r="499" spans="12:12" ht="13">
      <c r="L499" s="87"/>
    </row>
    <row r="500" spans="12:12" ht="13">
      <c r="L500" s="87"/>
    </row>
    <row r="501" spans="12:12" ht="13">
      <c r="L501" s="87"/>
    </row>
    <row r="502" spans="12:12" ht="13">
      <c r="L502" s="87"/>
    </row>
    <row r="503" spans="12:12" ht="13">
      <c r="L503" s="87"/>
    </row>
    <row r="504" spans="12:12" ht="13">
      <c r="L504" s="87"/>
    </row>
    <row r="505" spans="12:12" ht="13">
      <c r="L505" s="87"/>
    </row>
    <row r="506" spans="12:12" ht="13">
      <c r="L506" s="87"/>
    </row>
    <row r="507" spans="12:12" ht="13">
      <c r="L507" s="87"/>
    </row>
    <row r="508" spans="12:12" ht="13">
      <c r="L508" s="87"/>
    </row>
    <row r="509" spans="12:12" ht="13">
      <c r="L509" s="87"/>
    </row>
    <row r="510" spans="12:12" ht="13">
      <c r="L510" s="87"/>
    </row>
    <row r="511" spans="12:12" ht="13">
      <c r="L511" s="87"/>
    </row>
    <row r="512" spans="12:12" ht="13">
      <c r="L512" s="87"/>
    </row>
    <row r="513" spans="12:12" ht="13">
      <c r="L513" s="87"/>
    </row>
    <row r="514" spans="12:12" ht="13">
      <c r="L514" s="87"/>
    </row>
    <row r="515" spans="12:12" ht="13">
      <c r="L515" s="87"/>
    </row>
    <row r="516" spans="12:12" ht="13">
      <c r="L516" s="87"/>
    </row>
    <row r="517" spans="12:12" ht="13">
      <c r="L517" s="87"/>
    </row>
    <row r="518" spans="12:12" ht="13">
      <c r="L518" s="87"/>
    </row>
    <row r="519" spans="12:12" ht="13">
      <c r="L519" s="87"/>
    </row>
    <row r="520" spans="12:12" ht="13">
      <c r="L520" s="87"/>
    </row>
    <row r="521" spans="12:12" ht="13">
      <c r="L521" s="87"/>
    </row>
    <row r="522" spans="12:12" ht="13">
      <c r="L522" s="87"/>
    </row>
    <row r="523" spans="12:12" ht="13">
      <c r="L523" s="87"/>
    </row>
    <row r="524" spans="12:12" ht="13">
      <c r="L524" s="87"/>
    </row>
    <row r="525" spans="12:12" ht="13">
      <c r="L525" s="87"/>
    </row>
    <row r="526" spans="12:12" ht="13">
      <c r="L526" s="87"/>
    </row>
    <row r="527" spans="12:12" ht="13">
      <c r="L527" s="87"/>
    </row>
    <row r="528" spans="12:12" ht="13">
      <c r="L528" s="87"/>
    </row>
    <row r="529" spans="12:12" ht="13">
      <c r="L529" s="87"/>
    </row>
    <row r="530" spans="12:12" ht="13">
      <c r="L530" s="87"/>
    </row>
    <row r="531" spans="12:12" ht="13">
      <c r="L531" s="87"/>
    </row>
    <row r="532" spans="12:12" ht="13">
      <c r="L532" s="87"/>
    </row>
    <row r="533" spans="12:12" ht="13">
      <c r="L533" s="87"/>
    </row>
    <row r="534" spans="12:12" ht="13">
      <c r="L534" s="87"/>
    </row>
    <row r="535" spans="12:12" ht="13">
      <c r="L535" s="87"/>
    </row>
    <row r="536" spans="12:12" ht="13">
      <c r="L536" s="87"/>
    </row>
    <row r="537" spans="12:12" ht="13">
      <c r="L537" s="87"/>
    </row>
    <row r="538" spans="12:12" ht="13">
      <c r="L538" s="87"/>
    </row>
    <row r="539" spans="12:12" ht="13">
      <c r="L539" s="87"/>
    </row>
    <row r="540" spans="12:12" ht="13">
      <c r="L540" s="87"/>
    </row>
    <row r="541" spans="12:12" ht="13">
      <c r="L541" s="87"/>
    </row>
    <row r="542" spans="12:12" ht="13">
      <c r="L542" s="87"/>
    </row>
    <row r="543" spans="12:12" ht="13">
      <c r="L543" s="87"/>
    </row>
    <row r="544" spans="12:12" ht="13">
      <c r="L544" s="87"/>
    </row>
    <row r="545" spans="12:12" ht="13">
      <c r="L545" s="87"/>
    </row>
    <row r="546" spans="12:12" ht="13">
      <c r="L546" s="87"/>
    </row>
    <row r="547" spans="12:12" ht="13">
      <c r="L547" s="87"/>
    </row>
    <row r="548" spans="12:12" ht="13">
      <c r="L548" s="87"/>
    </row>
    <row r="549" spans="12:12" ht="13">
      <c r="L549" s="87"/>
    </row>
    <row r="550" spans="12:12" ht="13">
      <c r="L550" s="87"/>
    </row>
    <row r="551" spans="12:12" ht="13">
      <c r="L551" s="87"/>
    </row>
    <row r="552" spans="12:12" ht="13">
      <c r="L552" s="87"/>
    </row>
    <row r="553" spans="12:12" ht="13">
      <c r="L553" s="87"/>
    </row>
    <row r="554" spans="12:12" ht="13">
      <c r="L554" s="87"/>
    </row>
    <row r="555" spans="12:12" ht="13">
      <c r="L555" s="87"/>
    </row>
    <row r="556" spans="12:12" ht="13">
      <c r="L556" s="87"/>
    </row>
    <row r="557" spans="12:12" ht="13">
      <c r="L557" s="87"/>
    </row>
    <row r="558" spans="12:12" ht="13">
      <c r="L558" s="87"/>
    </row>
    <row r="559" spans="12:12" ht="13">
      <c r="L559" s="87"/>
    </row>
    <row r="560" spans="12:12" ht="13">
      <c r="L560" s="87"/>
    </row>
    <row r="561" spans="12:12" ht="13">
      <c r="L561" s="87"/>
    </row>
    <row r="562" spans="12:12" ht="13">
      <c r="L562" s="87"/>
    </row>
    <row r="563" spans="12:12" ht="13">
      <c r="L563" s="87"/>
    </row>
    <row r="564" spans="12:12" ht="13">
      <c r="L564" s="87"/>
    </row>
    <row r="565" spans="12:12" ht="13">
      <c r="L565" s="87"/>
    </row>
    <row r="566" spans="12:12" ht="13">
      <c r="L566" s="87"/>
    </row>
    <row r="567" spans="12:12" ht="13">
      <c r="L567" s="87"/>
    </row>
    <row r="568" spans="12:12" ht="13">
      <c r="L568" s="87"/>
    </row>
    <row r="569" spans="12:12" ht="13">
      <c r="L569" s="87"/>
    </row>
    <row r="570" spans="12:12" ht="13">
      <c r="L570" s="87"/>
    </row>
    <row r="571" spans="12:12" ht="13">
      <c r="L571" s="87"/>
    </row>
    <row r="572" spans="12:12" ht="13">
      <c r="L572" s="87"/>
    </row>
    <row r="573" spans="12:12" ht="13">
      <c r="L573" s="87"/>
    </row>
    <row r="574" spans="12:12" ht="13">
      <c r="L574" s="87"/>
    </row>
    <row r="575" spans="12:12" ht="13">
      <c r="L575" s="87"/>
    </row>
    <row r="576" spans="12:12" ht="13">
      <c r="L576" s="87"/>
    </row>
    <row r="577" spans="12:12" ht="13">
      <c r="L577" s="87"/>
    </row>
    <row r="578" spans="12:12" ht="13">
      <c r="L578" s="87"/>
    </row>
    <row r="579" spans="12:12" ht="13">
      <c r="L579" s="87"/>
    </row>
    <row r="580" spans="12:12" ht="13">
      <c r="L580" s="87"/>
    </row>
    <row r="581" spans="12:12" ht="13">
      <c r="L581" s="87"/>
    </row>
    <row r="582" spans="12:12" ht="13">
      <c r="L582" s="87"/>
    </row>
    <row r="583" spans="12:12" ht="13">
      <c r="L583" s="87"/>
    </row>
    <row r="584" spans="12:12" ht="13">
      <c r="L584" s="87"/>
    </row>
    <row r="585" spans="12:12" ht="13">
      <c r="L585" s="87"/>
    </row>
    <row r="586" spans="12:12" ht="13">
      <c r="L586" s="87"/>
    </row>
    <row r="587" spans="12:12" ht="13">
      <c r="L587" s="87"/>
    </row>
    <row r="588" spans="12:12" ht="13">
      <c r="L588" s="87"/>
    </row>
    <row r="589" spans="12:12" ht="13">
      <c r="L589" s="87"/>
    </row>
    <row r="590" spans="12:12" ht="13">
      <c r="L590" s="87"/>
    </row>
    <row r="591" spans="12:12" ht="13">
      <c r="L591" s="87"/>
    </row>
    <row r="592" spans="12:12" ht="13">
      <c r="L592" s="87"/>
    </row>
    <row r="593" spans="12:12" ht="13">
      <c r="L593" s="87"/>
    </row>
    <row r="594" spans="12:12" ht="13">
      <c r="L594" s="87"/>
    </row>
    <row r="595" spans="12:12" ht="13">
      <c r="L595" s="87"/>
    </row>
    <row r="596" spans="12:12" ht="13">
      <c r="L596" s="87"/>
    </row>
    <row r="597" spans="12:12" ht="13">
      <c r="L597" s="87"/>
    </row>
    <row r="598" spans="12:12" ht="13">
      <c r="L598" s="87"/>
    </row>
    <row r="599" spans="12:12" ht="13">
      <c r="L599" s="87"/>
    </row>
    <row r="600" spans="12:12" ht="13">
      <c r="L600" s="87"/>
    </row>
    <row r="601" spans="12:12" ht="13">
      <c r="L601" s="87"/>
    </row>
    <row r="602" spans="12:12" ht="13">
      <c r="L602" s="87"/>
    </row>
    <row r="603" spans="12:12" ht="13">
      <c r="L603" s="87"/>
    </row>
    <row r="604" spans="12:12" ht="13">
      <c r="L604" s="87"/>
    </row>
    <row r="605" spans="12:12" ht="13">
      <c r="L605" s="87"/>
    </row>
    <row r="606" spans="12:12" ht="13">
      <c r="L606" s="87"/>
    </row>
    <row r="607" spans="12:12" ht="13">
      <c r="L607" s="87"/>
    </row>
    <row r="608" spans="12:12" ht="13">
      <c r="L608" s="87"/>
    </row>
    <row r="609" spans="12:12" ht="13">
      <c r="L609" s="87"/>
    </row>
    <row r="610" spans="12:12" ht="13">
      <c r="L610" s="87"/>
    </row>
    <row r="611" spans="12:12" ht="13">
      <c r="L611" s="87"/>
    </row>
    <row r="612" spans="12:12" ht="13">
      <c r="L612" s="87"/>
    </row>
    <row r="613" spans="12:12" ht="13">
      <c r="L613" s="87"/>
    </row>
    <row r="614" spans="12:12" ht="13">
      <c r="L614" s="87"/>
    </row>
    <row r="615" spans="12:12" ht="13">
      <c r="L615" s="87"/>
    </row>
    <row r="616" spans="12:12" ht="13">
      <c r="L616" s="87"/>
    </row>
    <row r="617" spans="12:12" ht="13">
      <c r="L617" s="87"/>
    </row>
    <row r="618" spans="12:12" ht="13">
      <c r="L618" s="87"/>
    </row>
    <row r="619" spans="12:12" ht="13">
      <c r="L619" s="87"/>
    </row>
    <row r="620" spans="12:12" ht="13">
      <c r="L620" s="87"/>
    </row>
    <row r="621" spans="12:12" ht="13">
      <c r="L621" s="87"/>
    </row>
    <row r="622" spans="12:12" ht="13">
      <c r="L622" s="87"/>
    </row>
    <row r="623" spans="12:12" ht="13">
      <c r="L623" s="87"/>
    </row>
    <row r="624" spans="12:12" ht="13">
      <c r="L624" s="87"/>
    </row>
    <row r="625" spans="12:12" ht="13">
      <c r="L625" s="87"/>
    </row>
    <row r="626" spans="12:12" ht="13">
      <c r="L626" s="87"/>
    </row>
    <row r="627" spans="12:12" ht="13">
      <c r="L627" s="87"/>
    </row>
    <row r="628" spans="12:12" ht="13">
      <c r="L628" s="87"/>
    </row>
    <row r="629" spans="12:12" ht="13">
      <c r="L629" s="87"/>
    </row>
    <row r="630" spans="12:12" ht="13">
      <c r="L630" s="87"/>
    </row>
    <row r="631" spans="12:12" ht="13">
      <c r="L631" s="87"/>
    </row>
    <row r="632" spans="12:12" ht="13">
      <c r="L632" s="87"/>
    </row>
    <row r="633" spans="12:12" ht="13">
      <c r="L633" s="87"/>
    </row>
    <row r="634" spans="12:12" ht="13">
      <c r="L634" s="87"/>
    </row>
    <row r="635" spans="12:12" ht="13">
      <c r="L635" s="87"/>
    </row>
    <row r="636" spans="12:12" ht="13">
      <c r="L636" s="87"/>
    </row>
    <row r="637" spans="12:12" ht="13">
      <c r="L637" s="87"/>
    </row>
    <row r="638" spans="12:12" ht="13">
      <c r="L638" s="87"/>
    </row>
    <row r="639" spans="12:12" ht="13">
      <c r="L639" s="87"/>
    </row>
    <row r="640" spans="12:12" ht="13">
      <c r="L640" s="87"/>
    </row>
    <row r="641" spans="12:12" ht="13">
      <c r="L641" s="87"/>
    </row>
    <row r="642" spans="12:12" ht="13">
      <c r="L642" s="87"/>
    </row>
    <row r="643" spans="12:12" ht="13">
      <c r="L643" s="87"/>
    </row>
    <row r="644" spans="12:12" ht="13">
      <c r="L644" s="87"/>
    </row>
    <row r="645" spans="12:12" ht="13">
      <c r="L645" s="87"/>
    </row>
    <row r="646" spans="12:12" ht="13">
      <c r="L646" s="87"/>
    </row>
    <row r="647" spans="12:12" ht="13">
      <c r="L647" s="87"/>
    </row>
    <row r="648" spans="12:12" ht="13">
      <c r="L648" s="87"/>
    </row>
    <row r="649" spans="12:12" ht="13">
      <c r="L649" s="87"/>
    </row>
    <row r="650" spans="12:12" ht="13">
      <c r="L650" s="87"/>
    </row>
    <row r="651" spans="12:12" ht="13">
      <c r="L651" s="87"/>
    </row>
    <row r="652" spans="12:12" ht="13">
      <c r="L652" s="87"/>
    </row>
    <row r="653" spans="12:12" ht="13">
      <c r="L653" s="87"/>
    </row>
    <row r="654" spans="12:12" ht="13">
      <c r="L654" s="87"/>
    </row>
    <row r="655" spans="12:12" ht="13">
      <c r="L655" s="87"/>
    </row>
    <row r="656" spans="12:12" ht="13">
      <c r="L656" s="87"/>
    </row>
    <row r="657" spans="12:12" ht="13">
      <c r="L657" s="87"/>
    </row>
    <row r="658" spans="12:12" ht="13">
      <c r="L658" s="87"/>
    </row>
    <row r="659" spans="12:12" ht="13">
      <c r="L659" s="87"/>
    </row>
    <row r="660" spans="12:12" ht="13">
      <c r="L660" s="87"/>
    </row>
    <row r="661" spans="12:12" ht="13">
      <c r="L661" s="87"/>
    </row>
    <row r="662" spans="12:12" ht="13">
      <c r="L662" s="87"/>
    </row>
    <row r="663" spans="12:12" ht="13">
      <c r="L663" s="87"/>
    </row>
    <row r="664" spans="12:12" ht="13">
      <c r="L664" s="87"/>
    </row>
    <row r="665" spans="12:12" ht="13">
      <c r="L665" s="87"/>
    </row>
    <row r="666" spans="12:12" ht="13">
      <c r="L666" s="87"/>
    </row>
    <row r="667" spans="12:12" ht="13">
      <c r="L667" s="87"/>
    </row>
    <row r="668" spans="12:12" ht="13">
      <c r="L668" s="87"/>
    </row>
    <row r="669" spans="12:12" ht="13">
      <c r="L669" s="87"/>
    </row>
    <row r="670" spans="12:12" ht="13">
      <c r="L670" s="87"/>
    </row>
    <row r="671" spans="12:12" ht="13">
      <c r="L671" s="87"/>
    </row>
    <row r="672" spans="12:12" ht="13">
      <c r="L672" s="87"/>
    </row>
    <row r="673" spans="12:12" ht="13">
      <c r="L673" s="87"/>
    </row>
    <row r="674" spans="12:12" ht="13">
      <c r="L674" s="87"/>
    </row>
    <row r="675" spans="12:12" ht="13">
      <c r="L675" s="87"/>
    </row>
    <row r="676" spans="12:12" ht="13">
      <c r="L676" s="87"/>
    </row>
    <row r="677" spans="12:12" ht="13">
      <c r="L677" s="87"/>
    </row>
    <row r="678" spans="12:12" ht="13">
      <c r="L678" s="87"/>
    </row>
    <row r="679" spans="12:12" ht="13">
      <c r="L679" s="87"/>
    </row>
    <row r="680" spans="12:12" ht="13">
      <c r="L680" s="87"/>
    </row>
    <row r="681" spans="12:12" ht="13">
      <c r="L681" s="87"/>
    </row>
    <row r="682" spans="12:12" ht="13">
      <c r="L682" s="87"/>
    </row>
    <row r="683" spans="12:12" ht="13">
      <c r="L683" s="87"/>
    </row>
    <row r="684" spans="12:12" ht="13">
      <c r="L684" s="87"/>
    </row>
    <row r="685" spans="12:12" ht="13">
      <c r="L685" s="87"/>
    </row>
    <row r="686" spans="12:12" ht="13">
      <c r="L686" s="87"/>
    </row>
    <row r="687" spans="12:12" ht="13">
      <c r="L687" s="87"/>
    </row>
    <row r="688" spans="12:12" ht="13">
      <c r="L688" s="87"/>
    </row>
    <row r="689" spans="12:12" ht="13">
      <c r="L689" s="87"/>
    </row>
    <row r="690" spans="12:12" ht="13">
      <c r="L690" s="87"/>
    </row>
    <row r="691" spans="12:12" ht="13">
      <c r="L691" s="87"/>
    </row>
    <row r="692" spans="12:12" ht="13">
      <c r="L692" s="87"/>
    </row>
    <row r="693" spans="12:12" ht="13">
      <c r="L693" s="87"/>
    </row>
    <row r="694" spans="12:12" ht="13">
      <c r="L694" s="87"/>
    </row>
    <row r="695" spans="12:12" ht="13">
      <c r="L695" s="87"/>
    </row>
    <row r="696" spans="12:12" ht="13">
      <c r="L696" s="87"/>
    </row>
    <row r="697" spans="12:12" ht="13">
      <c r="L697" s="87"/>
    </row>
    <row r="698" spans="12:12" ht="13">
      <c r="L698" s="87"/>
    </row>
    <row r="699" spans="12:12" ht="13">
      <c r="L699" s="87"/>
    </row>
    <row r="700" spans="12:12" ht="13">
      <c r="L700" s="87"/>
    </row>
    <row r="701" spans="12:12" ht="13">
      <c r="L701" s="87"/>
    </row>
    <row r="702" spans="12:12" ht="13">
      <c r="L702" s="87"/>
    </row>
    <row r="703" spans="12:12" ht="13">
      <c r="L703" s="87"/>
    </row>
    <row r="704" spans="12:12" ht="13">
      <c r="L704" s="87"/>
    </row>
    <row r="705" spans="12:12" ht="13">
      <c r="L705" s="87"/>
    </row>
    <row r="706" spans="12:12" ht="13">
      <c r="L706" s="87"/>
    </row>
    <row r="707" spans="12:12" ht="13">
      <c r="L707" s="87"/>
    </row>
    <row r="708" spans="12:12" ht="13">
      <c r="L708" s="87"/>
    </row>
    <row r="709" spans="12:12" ht="13">
      <c r="L709" s="87"/>
    </row>
    <row r="710" spans="12:12" ht="13">
      <c r="L710" s="87"/>
    </row>
    <row r="711" spans="12:12" ht="13">
      <c r="L711" s="87"/>
    </row>
    <row r="712" spans="12:12" ht="13">
      <c r="L712" s="87"/>
    </row>
    <row r="713" spans="12:12" ht="13">
      <c r="L713" s="87"/>
    </row>
    <row r="714" spans="12:12" ht="13">
      <c r="L714" s="87"/>
    </row>
    <row r="715" spans="12:12" ht="13">
      <c r="L715" s="87"/>
    </row>
    <row r="716" spans="12:12" ht="13">
      <c r="L716" s="87"/>
    </row>
    <row r="717" spans="12:12" ht="13">
      <c r="L717" s="87"/>
    </row>
    <row r="718" spans="12:12" ht="13">
      <c r="L718" s="87"/>
    </row>
    <row r="719" spans="12:12" ht="13">
      <c r="L719" s="87"/>
    </row>
    <row r="720" spans="12:12" ht="13">
      <c r="L720" s="87"/>
    </row>
    <row r="721" spans="12:12" ht="13">
      <c r="L721" s="87"/>
    </row>
    <row r="722" spans="12:12" ht="13">
      <c r="L722" s="87"/>
    </row>
    <row r="723" spans="12:12" ht="13">
      <c r="L723" s="87"/>
    </row>
    <row r="724" spans="12:12" ht="13">
      <c r="L724" s="87"/>
    </row>
    <row r="725" spans="12:12" ht="13">
      <c r="L725" s="87"/>
    </row>
    <row r="726" spans="12:12" ht="13">
      <c r="L726" s="87"/>
    </row>
    <row r="727" spans="12:12" ht="13">
      <c r="L727" s="87"/>
    </row>
    <row r="728" spans="12:12" ht="13">
      <c r="L728" s="87"/>
    </row>
    <row r="729" spans="12:12" ht="13">
      <c r="L729" s="87"/>
    </row>
    <row r="730" spans="12:12" ht="13">
      <c r="L730" s="87"/>
    </row>
    <row r="731" spans="12:12" ht="13">
      <c r="L731" s="87"/>
    </row>
    <row r="732" spans="12:12" ht="13">
      <c r="L732" s="87"/>
    </row>
    <row r="733" spans="12:12" ht="13">
      <c r="L733" s="87"/>
    </row>
    <row r="734" spans="12:12" ht="13">
      <c r="L734" s="87"/>
    </row>
    <row r="735" spans="12:12" ht="13">
      <c r="L735" s="87"/>
    </row>
    <row r="736" spans="12:12" ht="13">
      <c r="L736" s="87"/>
    </row>
    <row r="737" spans="12:12" ht="13">
      <c r="L737" s="87"/>
    </row>
    <row r="738" spans="12:12" ht="13">
      <c r="L738" s="87"/>
    </row>
    <row r="739" spans="12:12" ht="13">
      <c r="L739" s="87"/>
    </row>
    <row r="740" spans="12:12" ht="13">
      <c r="L740" s="87"/>
    </row>
    <row r="741" spans="12:12" ht="13">
      <c r="L741" s="87"/>
    </row>
    <row r="742" spans="12:12" ht="13">
      <c r="L742" s="87"/>
    </row>
    <row r="743" spans="12:12" ht="13">
      <c r="L743" s="87"/>
    </row>
    <row r="744" spans="12:12" ht="13">
      <c r="L744" s="87"/>
    </row>
    <row r="745" spans="12:12" ht="13">
      <c r="L745" s="87"/>
    </row>
    <row r="746" spans="12:12" ht="13">
      <c r="L746" s="87"/>
    </row>
    <row r="747" spans="12:12" ht="13">
      <c r="L747" s="87"/>
    </row>
    <row r="748" spans="12:12" ht="13">
      <c r="L748" s="87"/>
    </row>
    <row r="749" spans="12:12" ht="13">
      <c r="L749" s="87"/>
    </row>
    <row r="750" spans="12:12" ht="13">
      <c r="L750" s="87"/>
    </row>
    <row r="751" spans="12:12" ht="13">
      <c r="L751" s="87"/>
    </row>
    <row r="752" spans="12:12" ht="13">
      <c r="L752" s="87"/>
    </row>
    <row r="753" spans="12:12" ht="13">
      <c r="L753" s="87"/>
    </row>
    <row r="754" spans="12:12" ht="13">
      <c r="L754" s="87"/>
    </row>
    <row r="755" spans="12:12" ht="13">
      <c r="L755" s="87"/>
    </row>
    <row r="756" spans="12:12" ht="13">
      <c r="L756" s="87"/>
    </row>
    <row r="757" spans="12:12" ht="13">
      <c r="L757" s="87"/>
    </row>
    <row r="758" spans="12:12" ht="13">
      <c r="L758" s="87"/>
    </row>
    <row r="759" spans="12:12" ht="13">
      <c r="L759" s="87"/>
    </row>
    <row r="760" spans="12:12" ht="13">
      <c r="L760" s="87"/>
    </row>
    <row r="761" spans="12:12" ht="13">
      <c r="L761" s="87"/>
    </row>
    <row r="762" spans="12:12" ht="13">
      <c r="L762" s="87"/>
    </row>
    <row r="763" spans="12:12" ht="13">
      <c r="L763" s="87"/>
    </row>
    <row r="764" spans="12:12" ht="13">
      <c r="L764" s="87"/>
    </row>
    <row r="765" spans="12:12" ht="13">
      <c r="L765" s="87"/>
    </row>
    <row r="766" spans="12:12" ht="13">
      <c r="L766" s="87"/>
    </row>
    <row r="767" spans="12:12" ht="13">
      <c r="L767" s="87"/>
    </row>
    <row r="768" spans="12:12" ht="13">
      <c r="L768" s="87"/>
    </row>
    <row r="769" spans="12:12" ht="13">
      <c r="L769" s="87"/>
    </row>
    <row r="770" spans="12:12" ht="13">
      <c r="L770" s="87"/>
    </row>
    <row r="771" spans="12:12" ht="13">
      <c r="L771" s="87"/>
    </row>
    <row r="772" spans="12:12" ht="13">
      <c r="L772" s="87"/>
    </row>
    <row r="773" spans="12:12" ht="13">
      <c r="L773" s="87"/>
    </row>
    <row r="774" spans="12:12" ht="13">
      <c r="L774" s="87"/>
    </row>
    <row r="775" spans="12:12" ht="13">
      <c r="L775" s="87"/>
    </row>
    <row r="776" spans="12:12" ht="13">
      <c r="L776" s="87"/>
    </row>
    <row r="777" spans="12:12" ht="13">
      <c r="L777" s="87"/>
    </row>
    <row r="778" spans="12:12" ht="13">
      <c r="L778" s="87"/>
    </row>
    <row r="779" spans="12:12" ht="13">
      <c r="L779" s="87"/>
    </row>
    <row r="780" spans="12:12" ht="13">
      <c r="L780" s="87"/>
    </row>
    <row r="781" spans="12:12" ht="13">
      <c r="L781" s="87"/>
    </row>
    <row r="782" spans="12:12" ht="13">
      <c r="L782" s="87"/>
    </row>
    <row r="783" spans="12:12" ht="13">
      <c r="L783" s="87"/>
    </row>
    <row r="784" spans="12:12" ht="13">
      <c r="L784" s="87"/>
    </row>
    <row r="785" spans="12:12" ht="13">
      <c r="L785" s="87"/>
    </row>
    <row r="786" spans="12:12" ht="13">
      <c r="L786" s="87"/>
    </row>
    <row r="787" spans="12:12" ht="13">
      <c r="L787" s="87"/>
    </row>
    <row r="788" spans="12:12" ht="13">
      <c r="L788" s="87"/>
    </row>
    <row r="789" spans="12:12" ht="13">
      <c r="L789" s="87"/>
    </row>
    <row r="790" spans="12:12" ht="13">
      <c r="L790" s="87"/>
    </row>
    <row r="791" spans="12:12" ht="13">
      <c r="L791" s="87"/>
    </row>
    <row r="792" spans="12:12" ht="13">
      <c r="L792" s="87"/>
    </row>
    <row r="793" spans="12:12" ht="13">
      <c r="L793" s="87"/>
    </row>
    <row r="794" spans="12:12" ht="13">
      <c r="L794" s="87"/>
    </row>
    <row r="795" spans="12:12" ht="13">
      <c r="L795" s="87"/>
    </row>
    <row r="796" spans="12:12" ht="13">
      <c r="L796" s="87"/>
    </row>
    <row r="797" spans="12:12" ht="13">
      <c r="L797" s="87"/>
    </row>
    <row r="798" spans="12:12" ht="13">
      <c r="L798" s="87"/>
    </row>
    <row r="799" spans="12:12" ht="13">
      <c r="L799" s="87"/>
    </row>
    <row r="800" spans="12:12" ht="13">
      <c r="L800" s="87"/>
    </row>
    <row r="801" spans="12:12" ht="13">
      <c r="L801" s="87"/>
    </row>
    <row r="802" spans="12:12" ht="13">
      <c r="L802" s="87"/>
    </row>
    <row r="803" spans="12:12" ht="13">
      <c r="L803" s="87"/>
    </row>
    <row r="804" spans="12:12" ht="13">
      <c r="L804" s="87"/>
    </row>
    <row r="805" spans="12:12" ht="13">
      <c r="L805" s="87"/>
    </row>
    <row r="806" spans="12:12" ht="13">
      <c r="L806" s="87"/>
    </row>
    <row r="807" spans="12:12" ht="13">
      <c r="L807" s="87"/>
    </row>
    <row r="808" spans="12:12" ht="13">
      <c r="L808" s="87"/>
    </row>
    <row r="809" spans="12:12" ht="13">
      <c r="L809" s="87"/>
    </row>
    <row r="810" spans="12:12" ht="13">
      <c r="L810" s="87"/>
    </row>
    <row r="811" spans="12:12" ht="13">
      <c r="L811" s="87"/>
    </row>
    <row r="812" spans="12:12" ht="13">
      <c r="L812" s="87"/>
    </row>
    <row r="813" spans="12:12" ht="13">
      <c r="L813" s="87"/>
    </row>
    <row r="814" spans="12:12" ht="13">
      <c r="L814" s="87"/>
    </row>
    <row r="815" spans="12:12" ht="13">
      <c r="L815" s="87"/>
    </row>
    <row r="816" spans="12:12" ht="13">
      <c r="L816" s="87"/>
    </row>
    <row r="817" spans="12:12" ht="13">
      <c r="L817" s="87"/>
    </row>
    <row r="818" spans="12:12" ht="13">
      <c r="L818" s="87"/>
    </row>
    <row r="819" spans="12:12" ht="13">
      <c r="L819" s="87"/>
    </row>
    <row r="820" spans="12:12" ht="13">
      <c r="L820" s="87"/>
    </row>
    <row r="821" spans="12:12" ht="13">
      <c r="L821" s="87"/>
    </row>
    <row r="822" spans="12:12" ht="13">
      <c r="L822" s="87"/>
    </row>
    <row r="823" spans="12:12" ht="13">
      <c r="L823" s="87"/>
    </row>
    <row r="824" spans="12:12" ht="13">
      <c r="L824" s="87"/>
    </row>
    <row r="825" spans="12:12" ht="13">
      <c r="L825" s="87"/>
    </row>
    <row r="826" spans="12:12" ht="13">
      <c r="L826" s="87"/>
    </row>
    <row r="827" spans="12:12" ht="13">
      <c r="L827" s="87"/>
    </row>
    <row r="828" spans="12:12" ht="13">
      <c r="L828" s="87"/>
    </row>
    <row r="829" spans="12:12" ht="13">
      <c r="L829" s="87"/>
    </row>
    <row r="830" spans="12:12" ht="13">
      <c r="L830" s="87"/>
    </row>
    <row r="831" spans="12:12" ht="13">
      <c r="L831" s="87"/>
    </row>
    <row r="832" spans="12:12" ht="13">
      <c r="L832" s="87"/>
    </row>
    <row r="833" spans="12:12" ht="13">
      <c r="L833" s="87"/>
    </row>
    <row r="834" spans="12:12" ht="13">
      <c r="L834" s="87"/>
    </row>
    <row r="835" spans="12:12" ht="13">
      <c r="L835" s="87"/>
    </row>
    <row r="836" spans="12:12" ht="13">
      <c r="L836" s="87"/>
    </row>
    <row r="837" spans="12:12" ht="13">
      <c r="L837" s="87"/>
    </row>
    <row r="838" spans="12:12" ht="13">
      <c r="L838" s="87"/>
    </row>
    <row r="839" spans="12:12" ht="13">
      <c r="L839" s="87"/>
    </row>
    <row r="840" spans="12:12" ht="13">
      <c r="L840" s="87"/>
    </row>
    <row r="841" spans="12:12" ht="13">
      <c r="L841" s="87"/>
    </row>
    <row r="842" spans="12:12" ht="13">
      <c r="L842" s="87"/>
    </row>
    <row r="843" spans="12:12" ht="13">
      <c r="L843" s="87"/>
    </row>
    <row r="844" spans="12:12" ht="13">
      <c r="L844" s="87"/>
    </row>
    <row r="845" spans="12:12" ht="13">
      <c r="L845" s="87"/>
    </row>
    <row r="846" spans="12:12" ht="13">
      <c r="L846" s="87"/>
    </row>
    <row r="847" spans="12:12" ht="13">
      <c r="L847" s="87"/>
    </row>
    <row r="848" spans="12:12" ht="13">
      <c r="L848" s="87"/>
    </row>
    <row r="849" spans="12:12" ht="13">
      <c r="L849" s="87"/>
    </row>
    <row r="850" spans="12:12" ht="13">
      <c r="L850" s="87"/>
    </row>
    <row r="851" spans="12:12" ht="13">
      <c r="L851" s="87"/>
    </row>
    <row r="852" spans="12:12" ht="13">
      <c r="L852" s="87"/>
    </row>
    <row r="853" spans="12:12" ht="13">
      <c r="L853" s="87"/>
    </row>
    <row r="854" spans="12:12" ht="13">
      <c r="L854" s="87"/>
    </row>
    <row r="855" spans="12:12" ht="13">
      <c r="L855" s="87"/>
    </row>
    <row r="856" spans="12:12" ht="13">
      <c r="L856" s="87"/>
    </row>
    <row r="857" spans="12:12" ht="13">
      <c r="L857" s="87"/>
    </row>
    <row r="858" spans="12:12" ht="13">
      <c r="L858" s="87"/>
    </row>
    <row r="859" spans="12:12" ht="13">
      <c r="L859" s="87"/>
    </row>
    <row r="860" spans="12:12" ht="13">
      <c r="L860" s="87"/>
    </row>
    <row r="861" spans="12:12" ht="13">
      <c r="L861" s="87"/>
    </row>
    <row r="862" spans="12:12" ht="13">
      <c r="L862" s="87"/>
    </row>
    <row r="863" spans="12:12" ht="13">
      <c r="L863" s="87"/>
    </row>
    <row r="864" spans="12:12" ht="13">
      <c r="L864" s="87"/>
    </row>
    <row r="865" spans="12:12" ht="13">
      <c r="L865" s="87"/>
    </row>
    <row r="866" spans="12:12" ht="13">
      <c r="L866" s="87"/>
    </row>
    <row r="867" spans="12:12" ht="13">
      <c r="L867" s="87"/>
    </row>
    <row r="868" spans="12:12" ht="13">
      <c r="L868" s="87"/>
    </row>
    <row r="869" spans="12:12" ht="13">
      <c r="L869" s="87"/>
    </row>
    <row r="870" spans="12:12" ht="13">
      <c r="L870" s="87"/>
    </row>
    <row r="871" spans="12:12" ht="13">
      <c r="L871" s="87"/>
    </row>
    <row r="872" spans="12:12" ht="13">
      <c r="L872" s="87"/>
    </row>
    <row r="873" spans="12:12" ht="13">
      <c r="L873" s="87"/>
    </row>
    <row r="874" spans="12:12" ht="13">
      <c r="L874" s="87"/>
    </row>
    <row r="875" spans="12:12" ht="13">
      <c r="L875" s="87"/>
    </row>
    <row r="876" spans="12:12" ht="13">
      <c r="L876" s="87"/>
    </row>
    <row r="877" spans="12:12" ht="13">
      <c r="L877" s="87"/>
    </row>
    <row r="878" spans="12:12" ht="13">
      <c r="L878" s="87"/>
    </row>
    <row r="879" spans="12:12" ht="13">
      <c r="L879" s="87"/>
    </row>
    <row r="880" spans="12:12" ht="13">
      <c r="L880" s="87"/>
    </row>
    <row r="881" spans="12:12" ht="13">
      <c r="L881" s="87"/>
    </row>
    <row r="882" spans="12:12" ht="13">
      <c r="L882" s="87"/>
    </row>
    <row r="883" spans="12:12" ht="13">
      <c r="L883" s="87"/>
    </row>
    <row r="884" spans="12:12" ht="13">
      <c r="L884" s="87"/>
    </row>
    <row r="885" spans="12:12" ht="13">
      <c r="L885" s="87"/>
    </row>
    <row r="886" spans="12:12" ht="13">
      <c r="L886" s="87"/>
    </row>
    <row r="887" spans="12:12" ht="13">
      <c r="L887" s="87"/>
    </row>
    <row r="888" spans="12:12" ht="13">
      <c r="L888" s="87"/>
    </row>
    <row r="889" spans="12:12" ht="13">
      <c r="L889" s="87"/>
    </row>
    <row r="890" spans="12:12" ht="13">
      <c r="L890" s="87"/>
    </row>
    <row r="891" spans="12:12" ht="13">
      <c r="L891" s="87"/>
    </row>
    <row r="892" spans="12:12" ht="13">
      <c r="L892" s="87"/>
    </row>
    <row r="893" spans="12:12" ht="13">
      <c r="L893" s="87"/>
    </row>
    <row r="894" spans="12:12" ht="13">
      <c r="L894" s="87"/>
    </row>
    <row r="895" spans="12:12" ht="13">
      <c r="L895" s="87"/>
    </row>
    <row r="896" spans="12:12" ht="13">
      <c r="L896" s="87"/>
    </row>
    <row r="897" spans="12:12" ht="13">
      <c r="L897" s="87"/>
    </row>
    <row r="898" spans="12:12" ht="13">
      <c r="L898" s="87"/>
    </row>
    <row r="899" spans="12:12" ht="13">
      <c r="L899" s="87"/>
    </row>
    <row r="900" spans="12:12" ht="13">
      <c r="L900" s="87"/>
    </row>
    <row r="901" spans="12:12" ht="13">
      <c r="L901" s="87"/>
    </row>
    <row r="902" spans="12:12" ht="13">
      <c r="L902" s="87"/>
    </row>
    <row r="903" spans="12:12" ht="13">
      <c r="L903" s="87"/>
    </row>
    <row r="904" spans="12:12" ht="13">
      <c r="L904" s="87"/>
    </row>
    <row r="905" spans="12:12" ht="13">
      <c r="L905" s="87"/>
    </row>
    <row r="906" spans="12:12" ht="13">
      <c r="L906" s="87"/>
    </row>
    <row r="907" spans="12:12" ht="13">
      <c r="L907" s="87"/>
    </row>
    <row r="908" spans="12:12" ht="13">
      <c r="L908" s="87"/>
    </row>
    <row r="909" spans="12:12" ht="13">
      <c r="L909" s="87"/>
    </row>
    <row r="910" spans="12:12" ht="13">
      <c r="L910" s="87"/>
    </row>
    <row r="911" spans="12:12" ht="13">
      <c r="L911" s="87"/>
    </row>
    <row r="912" spans="12:12" ht="13">
      <c r="L912" s="87"/>
    </row>
    <row r="913" spans="12:12" ht="13">
      <c r="L913" s="87"/>
    </row>
    <row r="914" spans="12:12" ht="13">
      <c r="L914" s="87"/>
    </row>
    <row r="915" spans="12:12" ht="13">
      <c r="L915" s="87"/>
    </row>
    <row r="916" spans="12:12" ht="13">
      <c r="L916" s="87"/>
    </row>
    <row r="917" spans="12:12" ht="13">
      <c r="L917" s="87"/>
    </row>
    <row r="918" spans="12:12" ht="13">
      <c r="L918" s="87"/>
    </row>
    <row r="919" spans="12:12" ht="13">
      <c r="L919" s="87"/>
    </row>
    <row r="920" spans="12:12" ht="13">
      <c r="L920" s="87"/>
    </row>
    <row r="921" spans="12:12" ht="13">
      <c r="L921" s="87"/>
    </row>
    <row r="922" spans="12:12" ht="13">
      <c r="L922" s="87"/>
    </row>
    <row r="923" spans="12:12" ht="13">
      <c r="L923" s="87"/>
    </row>
    <row r="924" spans="12:12" ht="13">
      <c r="L924" s="87"/>
    </row>
    <row r="925" spans="12:12" ht="13">
      <c r="L925" s="87"/>
    </row>
    <row r="926" spans="12:12" ht="13">
      <c r="L926" s="87"/>
    </row>
    <row r="927" spans="12:12" ht="13">
      <c r="L927" s="87"/>
    </row>
    <row r="928" spans="12:12" ht="13">
      <c r="L928" s="87"/>
    </row>
    <row r="929" spans="12:12" ht="13">
      <c r="L929" s="87"/>
    </row>
    <row r="930" spans="12:12" ht="13">
      <c r="L930" s="87"/>
    </row>
    <row r="931" spans="12:12" ht="13">
      <c r="L931" s="87"/>
    </row>
    <row r="932" spans="12:12" ht="13">
      <c r="L932" s="87"/>
    </row>
    <row r="933" spans="12:12" ht="13">
      <c r="L933" s="87"/>
    </row>
    <row r="934" spans="12:12" ht="13">
      <c r="L934" s="87"/>
    </row>
    <row r="935" spans="12:12" ht="13">
      <c r="L935" s="87"/>
    </row>
    <row r="936" spans="12:12" ht="13">
      <c r="L936" s="87"/>
    </row>
    <row r="937" spans="12:12" ht="13">
      <c r="L937" s="87"/>
    </row>
    <row r="938" spans="12:12" ht="13">
      <c r="L938" s="87"/>
    </row>
    <row r="939" spans="12:12" ht="13">
      <c r="L939" s="87"/>
    </row>
    <row r="940" spans="12:12" ht="13">
      <c r="L940" s="87"/>
    </row>
    <row r="941" spans="12:12" ht="13">
      <c r="L941" s="87"/>
    </row>
    <row r="942" spans="12:12" ht="13">
      <c r="L942" s="87"/>
    </row>
    <row r="943" spans="12:12" ht="13">
      <c r="L943" s="87"/>
    </row>
    <row r="944" spans="12:12" ht="13">
      <c r="L944" s="87"/>
    </row>
    <row r="945" spans="12:12" ht="13">
      <c r="L945" s="87"/>
    </row>
    <row r="946" spans="12:12" ht="13">
      <c r="L946" s="87"/>
    </row>
    <row r="947" spans="12:12" ht="13">
      <c r="L947" s="87"/>
    </row>
    <row r="948" spans="12:12" ht="13">
      <c r="L948" s="87"/>
    </row>
    <row r="949" spans="12:12" ht="13">
      <c r="L949" s="87"/>
    </row>
    <row r="950" spans="12:12" ht="13">
      <c r="L950" s="87"/>
    </row>
    <row r="951" spans="12:12" ht="13">
      <c r="L951" s="87"/>
    </row>
    <row r="952" spans="12:12" ht="13">
      <c r="L952" s="87"/>
    </row>
    <row r="953" spans="12:12" ht="13">
      <c r="L953" s="87"/>
    </row>
    <row r="954" spans="12:12" ht="13">
      <c r="L954" s="87"/>
    </row>
    <row r="955" spans="12:12" ht="13">
      <c r="L955" s="87"/>
    </row>
    <row r="956" spans="12:12" ht="13">
      <c r="L956" s="87"/>
    </row>
    <row r="957" spans="12:12" ht="13">
      <c r="L957" s="87"/>
    </row>
    <row r="958" spans="12:12" ht="13">
      <c r="L958" s="87"/>
    </row>
    <row r="959" spans="12:12" ht="13">
      <c r="L959" s="87"/>
    </row>
    <row r="960" spans="12:12" ht="13">
      <c r="L960" s="87"/>
    </row>
    <row r="961" spans="12:12" ht="13">
      <c r="L961" s="87"/>
    </row>
    <row r="962" spans="12:12" ht="13">
      <c r="L962" s="87"/>
    </row>
    <row r="963" spans="12:12" ht="13">
      <c r="L963" s="87"/>
    </row>
    <row r="964" spans="12:12" ht="13">
      <c r="L964" s="87"/>
    </row>
    <row r="965" spans="12:12" ht="13">
      <c r="L965" s="87"/>
    </row>
    <row r="966" spans="12:12" ht="13">
      <c r="L966" s="87"/>
    </row>
    <row r="967" spans="12:12" ht="13">
      <c r="L967" s="87"/>
    </row>
    <row r="968" spans="12:12" ht="13">
      <c r="L968" s="87"/>
    </row>
    <row r="969" spans="12:12" ht="13">
      <c r="L969" s="87"/>
    </row>
    <row r="970" spans="12:12" ht="13">
      <c r="L970" s="87"/>
    </row>
    <row r="971" spans="12:12" ht="13">
      <c r="L971" s="87"/>
    </row>
    <row r="972" spans="12:12" ht="13">
      <c r="L972" s="87"/>
    </row>
    <row r="973" spans="12:12" ht="13">
      <c r="L973" s="87"/>
    </row>
    <row r="974" spans="12:12" ht="13">
      <c r="L974" s="87"/>
    </row>
    <row r="975" spans="12:12" ht="13">
      <c r="L975" s="87"/>
    </row>
    <row r="976" spans="12:12" ht="13">
      <c r="L976" s="87"/>
    </row>
    <row r="977" spans="12:12" ht="13">
      <c r="L977" s="87"/>
    </row>
    <row r="978" spans="12:12" ht="13">
      <c r="L978" s="87"/>
    </row>
    <row r="979" spans="12:12" ht="13">
      <c r="L979" s="87"/>
    </row>
    <row r="980" spans="12:12" ht="13">
      <c r="L980" s="87"/>
    </row>
    <row r="981" spans="12:12" ht="13">
      <c r="L981" s="87"/>
    </row>
    <row r="982" spans="12:12" ht="13">
      <c r="L982" s="87"/>
    </row>
    <row r="983" spans="12:12" ht="13">
      <c r="L983" s="87"/>
    </row>
    <row r="984" spans="12:12" ht="13">
      <c r="L984" s="87"/>
    </row>
    <row r="985" spans="12:12" ht="13">
      <c r="L985" s="87"/>
    </row>
    <row r="986" spans="12:12" ht="13">
      <c r="L986" s="87"/>
    </row>
    <row r="987" spans="12:12" ht="13">
      <c r="L987" s="87"/>
    </row>
    <row r="988" spans="12:12" ht="13">
      <c r="L988" s="87"/>
    </row>
    <row r="989" spans="12:12" ht="13">
      <c r="L989" s="87"/>
    </row>
    <row r="990" spans="12:12" ht="13">
      <c r="L990" s="87"/>
    </row>
    <row r="991" spans="12:12" ht="13">
      <c r="L991" s="87"/>
    </row>
    <row r="992" spans="12:12" ht="13">
      <c r="L992" s="87"/>
    </row>
    <row r="993" spans="12:12" ht="13">
      <c r="L993" s="87"/>
    </row>
    <row r="994" spans="12:12" ht="13">
      <c r="L994" s="87"/>
    </row>
    <row r="995" spans="12:12" ht="13">
      <c r="L995" s="87"/>
    </row>
    <row r="996" spans="12:12" ht="13">
      <c r="L996" s="87"/>
    </row>
    <row r="997" spans="12:12" ht="13">
      <c r="L997" s="87"/>
    </row>
    <row r="998" spans="12:12" ht="13">
      <c r="L998" s="87"/>
    </row>
    <row r="999" spans="12:12" ht="13">
      <c r="L999" s="87"/>
    </row>
  </sheetData>
  <autoFilter ref="A1:R138" xr:uid="{00000000-0009-0000-0000-000003000000}"/>
  <conditionalFormatting sqref="P50">
    <cfRule type="notContainsBlanks" dxfId="0" priority="1">
      <formula>LEN(TRIM(P50))&gt;0</formula>
    </cfRule>
  </conditionalFormatting>
  <dataValidations count="2">
    <dataValidation type="list" allowBlank="1" showErrorMessage="1" sqref="L2:L23 L25:L137" xr:uid="{00000000-0002-0000-0300-000000000000}">
      <formula1>"Forest &amp; Wildlife Clearance,Land Acquisition,Phase wise Sanctioning,Law and Order Issue,No Delay,Utility Shifting"</formula1>
    </dataValidation>
    <dataValidation type="list" allowBlank="1" showErrorMessage="1" sqref="Q2:Q4 Q21 Q24:Q34 Q37 Q39 Q41:Q42 Q44:Q111 Q116:Q119 Q134" xr:uid="{00000000-0002-0000-0300-000001000000}">
      <formula1>"Change in Scope of Work based on Actual Field requirement,Market Inflation increase in cost of raw material,Escalation in Land Acquisition value,Administrative reason,Uncertainity in Geological Condition,No Cost overrun"</formula1>
    </dataValidation>
  </dataValidation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Sheet9</vt:lpstr>
      <vt:lpstr>Active before 2014</vt:lpstr>
      <vt:lpstr>Active 14-19</vt:lpstr>
      <vt:lpstr>Active 19-24</vt:lpstr>
      <vt:lpstr>K27K28</vt:lpstr>
      <vt:lpstr>K29K27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Krishan Kant</cp:lastModifiedBy>
  <dcterms:modified xsi:type="dcterms:W3CDTF">2026-10-30T07:18:21Z</dcterms:modified>
</cp:coreProperties>
</file>